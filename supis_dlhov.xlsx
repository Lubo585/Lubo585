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úpis dlhov" sheetId="1" state="visible" r:id="rId3"/>
    <sheet name="Detail výpočt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Predvolene dnešný dátum. Pre výpočet k pevnému dňu (napr. ku dňu podania žaloby) prepíšte dátumom.</t>
        </r>
      </text>
    </comment>
    <comment ref="B4" authorId="0">
      <text>
        <r>
          <rPr>
            <sz val="10"/>
            <rFont val="Arial"/>
            <family val="2"/>
          </rPr>
          <t xml:space="preserve">Zadané používateľom: 10 % ročne.</t>
        </r>
      </text>
    </comment>
    <comment ref="B5" authorId="0">
      <text>
        <r>
          <rPr>
            <sz val="10"/>
            <rFont val="Arial"/>
            <family val="2"/>
          </rPr>
          <t xml:space="preserve">Zadané používateľom: úrok sa pripisuje k istine každé 3 mesiace.</t>
        </r>
      </text>
    </comment>
    <comment ref="B6" authorId="0">
      <text>
        <r>
          <rPr>
            <sz val="10"/>
            <rFont val="Arial"/>
            <family val="2"/>
          </rPr>
          <t xml:space="preserve">Vypočítané: 10 % × 3 / 12 = 2,5 % za štvrťrok.</t>
        </r>
      </text>
    </comment>
  </commentList>
</comments>
</file>

<file path=xl/sharedStrings.xml><?xml version="1.0" encoding="utf-8"?>
<sst xmlns="http://schemas.openxmlformats.org/spreadsheetml/2006/main" count="122" uniqueCount="71">
  <si>
    <t xml:space="preserve">Súpis pohľadávok a výpočet úroku z omeškania</t>
  </si>
  <si>
    <t xml:space="preserve">Dátum výpočtu (ku dňu)</t>
  </si>
  <si>
    <t xml:space="preserve">Predvolene dnešný dátum. Pre výpočet k pevnému dňu (napr. ku dňu podania žaloby) prepíšte dátumom.</t>
  </si>
  <si>
    <t xml:space="preserve">Úroková sadzba ročne (p. a.)</t>
  </si>
  <si>
    <t xml:space="preserve">Zadané používateľom: 10 % ročne.</t>
  </si>
  <si>
    <t xml:space="preserve">Kapitalizácia úroku každých (mesiacov)</t>
  </si>
  <si>
    <t xml:space="preserve">Zadané používateľom: úrok sa pripisuje k istine každé 3 mesiace.</t>
  </si>
  <si>
    <t xml:space="preserve">Sadzba za jedno obdobie</t>
  </si>
  <si>
    <t xml:space="preserve">Vypočítané: 10 % × 3 / 12 = 2,5 % za štvrťrok.</t>
  </si>
  <si>
    <t xml:space="preserve">Legenda: žlté bunky s modrým písmom vyplňte (dlžník, titul, istina, dátum, úročiť, stav, poznámka). Biele bunky sú vzorce – neprepisujte ich. Riadky 11–22 ukazujú formát vyplnenia (dátum DD.MM.RRRR, suma v €).</t>
  </si>
  <si>
    <t xml:space="preserve">Metóda: za každé ukončené 3-mesačné obdobie od dátumu splatnosti sa úrok pripočíta k istine (zložené úročenie). Za nedokončené bežné obdobie sa počíta jednoduchý úrok z kapitalizovanej istiny pomerne podľa dní (rok = 365 dní). Pri „Úročiť = nie“ sa úrok nepočíta a dlžná suma = istina.</t>
  </si>
  <si>
    <t xml:space="preserve">Dlžník</t>
  </si>
  <si>
    <t xml:space="preserve">Právny titul / popis</t>
  </si>
  <si>
    <t xml:space="preserve">Istina (€)</t>
  </si>
  <si>
    <t xml:space="preserve">Dátum, od ktorého plynie úrok</t>
  </si>
  <si>
    <t xml:space="preserve">Úročiť (áno/nie)</t>
  </si>
  <si>
    <t xml:space="preserve">Stav</t>
  </si>
  <si>
    <t xml:space="preserve">Dni omeškania</t>
  </si>
  <si>
    <t xml:space="preserve">Ukončené obdobia (3 mes.)</t>
  </si>
  <si>
    <t xml:space="preserve">Dni v bežnom období</t>
  </si>
  <si>
    <t xml:space="preserve">Istina po kapitalizácii (€)</t>
  </si>
  <si>
    <t xml:space="preserve">Úrok celkom (€)</t>
  </si>
  <si>
    <t xml:space="preserve">Dlžná suma celkom (€)</t>
  </si>
  <si>
    <t xml:space="preserve">Poznámka</t>
  </si>
  <si>
    <t xml:space="preserve">Štefan Nagy Bačo</t>
  </si>
  <si>
    <t xml:space="preserve">Pôžička – BauHausEurope s.r.o. pre PSPSK s.r.o.</t>
  </si>
  <si>
    <t xml:space="preserve">áno</t>
  </si>
  <si>
    <t xml:space="preserve">otvorené</t>
  </si>
  <si>
    <t xml:space="preserve">Pôžička v hotovosti v SL (december 2024)</t>
  </si>
  <si>
    <t xml:space="preserve">presný deň neznámy – použitý 31.12.2024, DOPLŇTE</t>
  </si>
  <si>
    <t xml:space="preserve">Nevrátená suma (11/2025)</t>
  </si>
  <si>
    <t xml:space="preserve">presný deň neznámy – použitý 30.11.2025, DOPLŇTE</t>
  </si>
  <si>
    <t xml:space="preserve">Dvere – nedodané</t>
  </si>
  <si>
    <t xml:space="preserve">Dvere – ďalšia platba</t>
  </si>
  <si>
    <t xml:space="preserve">Prenájom vozidla</t>
  </si>
  <si>
    <t xml:space="preserve">dlžník neuvedený – priradené Bačovi, v prípade potreby zmeňte meno</t>
  </si>
  <si>
    <t xml:space="preserve">S-Class – uhradený doplatok</t>
  </si>
  <si>
    <t xml:space="preserve">Lukáš Cisco</t>
  </si>
  <si>
    <t xml:space="preserve">Prvá vlna (2022), cca</t>
  </si>
  <si>
    <t xml:space="preserve">suma približná, presný deň neznámy – použitý 31.12.2022, DOPLŇTE</t>
  </si>
  <si>
    <t xml:space="preserve">Druhá vlna (2024)</t>
  </si>
  <si>
    <t xml:space="preserve">Tretia vlna (2025)</t>
  </si>
  <si>
    <t xml:space="preserve">presný deň neznámy – použitý 31.12.2025, DOPLŇTE</t>
  </si>
  <si>
    <t xml:space="preserve">Daň za rok 2025</t>
  </si>
  <si>
    <t xml:space="preserve">dátum splatnosti neznámy – použitý 31.12.2025, DOPLŇTE</t>
  </si>
  <si>
    <t xml:space="preserve">Baláž</t>
  </si>
  <si>
    <t xml:space="preserve">nie</t>
  </si>
  <si>
    <t xml:space="preserve">bez úroku – doplňte istinu a dátum</t>
  </si>
  <si>
    <t xml:space="preserve">YQ House</t>
  </si>
  <si>
    <t xml:space="preserve">súvisí so Štefanom – doplňte istinu a dátum</t>
  </si>
  <si>
    <t xml:space="preserve">SPOLU – otvorené pohľadávky</t>
  </si>
  <si>
    <t xml:space="preserve">počet:</t>
  </si>
  <si>
    <t xml:space="preserve">Súhrn podľa dlžníka (len otvorené pohľadávky)</t>
  </si>
  <si>
    <t xml:space="preserve">Pri novom dlžníkovi doplňte meno do stĺpca A v tomto súhrne – vzorce sú SUMIFS.</t>
  </si>
  <si>
    <t xml:space="preserve">Detailný rozpis úročenia pre jedného dlžníka (podklad do výzvy / žaloby)</t>
  </si>
  <si>
    <t xml:space="preserve">Dlžník (vyberte zo zoznamu)</t>
  </si>
  <si>
    <t xml:space="preserve">Zoznam sa plní z hárka „Súpis dlhov“. Rozpis zobrazí max. 80 ukončených období (20 rokov).</t>
  </si>
  <si>
    <t xml:space="preserve">Úrok plynie od</t>
  </si>
  <si>
    <t xml:space="preserve">Dátum výpočtu</t>
  </si>
  <si>
    <t xml:space="preserve">Ukončené obdobia</t>
  </si>
  <si>
    <t xml:space="preserve">Sadzba za obdobie</t>
  </si>
  <si>
    <t xml:space="preserve">Úročiť</t>
  </si>
  <si>
    <t xml:space="preserve">Obdobie č.</t>
  </si>
  <si>
    <t xml:space="preserve">Od</t>
  </si>
  <si>
    <t xml:space="preserve">Do</t>
  </si>
  <si>
    <t xml:space="preserve">Istina na začiatku (€)</t>
  </si>
  <si>
    <t xml:space="preserve">Úrok za obdobie (€)</t>
  </si>
  <si>
    <t xml:space="preserve">Istina na konci – kapitalizovaná (€)</t>
  </si>
  <si>
    <t xml:space="preserve">Bežné (neukončené) obdobie – jednoduchý úrok</t>
  </si>
  <si>
    <t xml:space="preserve">DLŽNÁ SUMA CELKOM (€)</t>
  </si>
  <si>
    <t xml:space="preserve">Kontrola oproti súpisu (má byť 0,00 €)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</si>
</sst>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0.00%"/>
    <numFmt numFmtId="167" formatCode="0"/>
    <numFmt numFmtId="168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true">TODAY()</f>
        <v>46306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n">
        <v>0.1</v>
      </c>
      <c r="C4" s="4" t="s">
        <v>4</v>
      </c>
    </row>
    <row r="5" customFormat="false" ht="15" hidden="false" customHeight="false" outlineLevel="0" collapsed="false">
      <c r="A5" s="2" t="s">
        <v>5</v>
      </c>
      <c r="B5" s="6" t="n">
        <v>3</v>
      </c>
      <c r="C5" s="4" t="s">
        <v>6</v>
      </c>
    </row>
    <row r="6" customFormat="false" ht="15" hidden="false" customHeight="false" outlineLevel="0" collapsed="false">
      <c r="A6" s="2" t="s">
        <v>7</v>
      </c>
      <c r="B6" s="7" t="n">
        <f aca="false">B4*B5/12</f>
        <v>0.025</v>
      </c>
      <c r="C6" s="4" t="s">
        <v>8</v>
      </c>
    </row>
    <row r="8" customFormat="false" ht="15" hidden="false" customHeight="false" outlineLevel="0" collapsed="false">
      <c r="A8" s="8" t="s">
        <v>9</v>
      </c>
    </row>
    <row r="9" customFormat="false" ht="15" hidden="false" customHeight="false" outlineLevel="0" collapsed="false">
      <c r="A9" s="8" t="s">
        <v>10</v>
      </c>
    </row>
    <row r="10" customFormat="false" ht="42" hidden="false" customHeight="true" outlineLevel="0" collapsed="false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  <c r="M10" s="9" t="s">
        <v>23</v>
      </c>
    </row>
    <row r="11" customFormat="false" ht="15" hidden="false" customHeight="false" outlineLevel="0" collapsed="false">
      <c r="A11" s="10" t="s">
        <v>24</v>
      </c>
      <c r="B11" s="10" t="s">
        <v>25</v>
      </c>
      <c r="C11" s="11" t="n">
        <v>50000</v>
      </c>
      <c r="D11" s="12" t="n">
        <v>45471</v>
      </c>
      <c r="E11" s="10" t="s">
        <v>26</v>
      </c>
      <c r="F11" s="10" t="s">
        <v>27</v>
      </c>
      <c r="G11" s="13" t="n">
        <f aca="false">IF(OR($A11="",$D11="",$C11=""),"",MAX(0,$B$3-$D11))</f>
        <v>835</v>
      </c>
      <c r="H11" s="13" t="n">
        <f aca="false">IF($G11="","",IF(OR($E11="nie",$B$3&lt;=$D11),0,INT(DATEDIF($D11,$B$3,"m")/$B$5)))</f>
        <v>9</v>
      </c>
      <c r="I11" s="13" t="n">
        <f aca="false">IF($H11="","",IF($E11="nie",0,MAX(0,$B$3-EDATE($D11,$H11*$B$5))))</f>
        <v>13</v>
      </c>
      <c r="J11" s="14" t="n">
        <f aca="false">IF($H11="","",$C11*(1+$B$6)^$H11)</f>
        <v>62443.1484973833</v>
      </c>
      <c r="K11" s="14" t="n">
        <f aca="false">IF($H11="","",IF($E11="nie",0,$J11*(1+$B$4*$I11/365)-$C11))</f>
        <v>12665.5487523055</v>
      </c>
      <c r="L11" s="15" t="n">
        <f aca="false">IF($H11="","",$C11+$K11)</f>
        <v>62665.5487523055</v>
      </c>
      <c r="M11" s="10"/>
    </row>
    <row r="12" customFormat="false" ht="15" hidden="false" customHeight="false" outlineLevel="0" collapsed="false">
      <c r="A12" s="10" t="s">
        <v>24</v>
      </c>
      <c r="B12" s="10" t="s">
        <v>28</v>
      </c>
      <c r="C12" s="11" t="n">
        <v>5000</v>
      </c>
      <c r="D12" s="12" t="n">
        <v>45657</v>
      </c>
      <c r="E12" s="10" t="s">
        <v>26</v>
      </c>
      <c r="F12" s="10" t="s">
        <v>27</v>
      </c>
      <c r="G12" s="13" t="n">
        <f aca="false">IF(OR($A12="",$D12="",$C12=""),"",MAX(0,$B$3-$D12))</f>
        <v>649</v>
      </c>
      <c r="H12" s="13" t="n">
        <f aca="false">IF($G12="","",IF(OR($E12="nie",$B$3&lt;=$D12),0,INT(DATEDIF($D12,$B$3,"m")/$B$5)))</f>
        <v>7</v>
      </c>
      <c r="I12" s="13" t="n">
        <f aca="false">IF($H12="","",IF($E12="nie",0,MAX(0,$B$3-EDATE($D12,$H12*$B$5))))</f>
        <v>11</v>
      </c>
      <c r="J12" s="14" t="n">
        <f aca="false">IF($H12="","",$C12*(1+$B$6)^$H12)</f>
        <v>5943.42876834106</v>
      </c>
      <c r="K12" s="14" t="n">
        <f aca="false">IF($H12="","",IF($E12="nie",0,$J12*(1+$B$4*$I12/365)-$C12))</f>
        <v>961.340471478527</v>
      </c>
      <c r="L12" s="15" t="n">
        <f aca="false">IF($H12="","",$C12+$K12)</f>
        <v>5961.34047147853</v>
      </c>
      <c r="M12" s="10" t="s">
        <v>29</v>
      </c>
    </row>
    <row r="13" customFormat="false" ht="15" hidden="false" customHeight="false" outlineLevel="0" collapsed="false">
      <c r="A13" s="10" t="s">
        <v>24</v>
      </c>
      <c r="B13" s="10" t="s">
        <v>30</v>
      </c>
      <c r="C13" s="11" t="n">
        <v>5000</v>
      </c>
      <c r="D13" s="12" t="n">
        <v>45991</v>
      </c>
      <c r="E13" s="10" t="s">
        <v>26</v>
      </c>
      <c r="F13" s="10" t="s">
        <v>27</v>
      </c>
      <c r="G13" s="13" t="n">
        <f aca="false">IF(OR($A13="",$D13="",$C13=""),"",MAX(0,$B$3-$D13))</f>
        <v>315</v>
      </c>
      <c r="H13" s="13" t="n">
        <f aca="false">IF($G13="","",IF(OR($E13="nie",$B$3&lt;=$D13),0,INT(DATEDIF($D13,$B$3,"m")/$B$5)))</f>
        <v>3</v>
      </c>
      <c r="I13" s="13" t="n">
        <f aca="false">IF($H13="","",IF($E13="nie",0,MAX(0,$B$3-EDATE($D13,$H13*$B$5))))</f>
        <v>42</v>
      </c>
      <c r="J13" s="14" t="n">
        <f aca="false">IF($H13="","",$C13*(1+$B$6)^$H13)</f>
        <v>5384.453125</v>
      </c>
      <c r="K13" s="14" t="n">
        <f aca="false">IF($H13="","",IF($E13="nie",0,$J13*(1+$B$4*$I13/365)-$C13))</f>
        <v>446.411215753423</v>
      </c>
      <c r="L13" s="15" t="n">
        <f aca="false">IF($H13="","",$C13+$K13)</f>
        <v>5446.41121575342</v>
      </c>
      <c r="M13" s="10" t="s">
        <v>31</v>
      </c>
    </row>
    <row r="14" customFormat="false" ht="15" hidden="false" customHeight="false" outlineLevel="0" collapsed="false">
      <c r="A14" s="10" t="s">
        <v>24</v>
      </c>
      <c r="B14" s="10" t="s">
        <v>32</v>
      </c>
      <c r="C14" s="11" t="n">
        <v>10000</v>
      </c>
      <c r="D14" s="12" t="n">
        <v>45830</v>
      </c>
      <c r="E14" s="10" t="s">
        <v>26</v>
      </c>
      <c r="F14" s="10" t="s">
        <v>27</v>
      </c>
      <c r="G14" s="13" t="n">
        <f aca="false">IF(OR($A14="",$D14="",$C14=""),"",MAX(0,$B$3-$D14))</f>
        <v>476</v>
      </c>
      <c r="H14" s="13" t="n">
        <f aca="false">IF($G14="","",IF(OR($E14="nie",$B$3&lt;=$D14),0,INT(DATEDIF($D14,$B$3,"m")/$B$5)))</f>
        <v>5</v>
      </c>
      <c r="I14" s="13" t="n">
        <f aca="false">IF($H14="","",IF($E14="nie",0,MAX(0,$B$3-EDATE($D14,$H14*$B$5))))</f>
        <v>19</v>
      </c>
      <c r="J14" s="14" t="n">
        <f aca="false">IF($H14="","",$C14*(1+$B$6)^$H14)</f>
        <v>11314.0821289062</v>
      </c>
      <c r="K14" s="14" t="n">
        <f aca="false">IF($H14="","",IF($E14="nie",0,$J14*(1+$B$4*$I14/365)-$C14))</f>
        <v>1372.97735094713</v>
      </c>
      <c r="L14" s="15" t="n">
        <f aca="false">IF($H14="","",$C14+$K14)</f>
        <v>11372.9773509471</v>
      </c>
      <c r="M14" s="10"/>
    </row>
    <row r="15" customFormat="false" ht="15" hidden="false" customHeight="false" outlineLevel="0" collapsed="false">
      <c r="A15" s="10" t="s">
        <v>24</v>
      </c>
      <c r="B15" s="10" t="s">
        <v>33</v>
      </c>
      <c r="C15" s="11" t="n">
        <v>5000</v>
      </c>
      <c r="D15" s="12" t="n">
        <v>45854</v>
      </c>
      <c r="E15" s="10" t="s">
        <v>26</v>
      </c>
      <c r="F15" s="10" t="s">
        <v>27</v>
      </c>
      <c r="G15" s="13" t="n">
        <f aca="false">IF(OR($A15="",$D15="",$C15=""),"",MAX(0,$B$3-$D15))</f>
        <v>452</v>
      </c>
      <c r="H15" s="13" t="n">
        <f aca="false">IF($G15="","",IF(OR($E15="nie",$B$3&lt;=$D15),0,INT(DATEDIF($D15,$B$3,"m")/$B$5)))</f>
        <v>4</v>
      </c>
      <c r="I15" s="13" t="n">
        <f aca="false">IF($H15="","",IF($E15="nie",0,MAX(0,$B$3-EDATE($D15,$H15*$B$5))))</f>
        <v>87</v>
      </c>
      <c r="J15" s="14" t="n">
        <f aca="false">IF($H15="","",$C15*(1+$B$6)^$H15)</f>
        <v>5519.064453125</v>
      </c>
      <c r="K15" s="14" t="n">
        <f aca="false">IF($H15="","",IF($E15="nie",0,$J15*(1+$B$4*$I15/365)-$C15))</f>
        <v>650.614756528251</v>
      </c>
      <c r="L15" s="15" t="n">
        <f aca="false">IF($H15="","",$C15+$K15)</f>
        <v>5650.61475652825</v>
      </c>
      <c r="M15" s="10"/>
    </row>
    <row r="16" customFormat="false" ht="15" hidden="false" customHeight="false" outlineLevel="0" collapsed="false">
      <c r="A16" s="10" t="s">
        <v>24</v>
      </c>
      <c r="B16" s="10" t="s">
        <v>33</v>
      </c>
      <c r="C16" s="11" t="n">
        <v>20000</v>
      </c>
      <c r="D16" s="12" t="n">
        <v>45916</v>
      </c>
      <c r="E16" s="10" t="s">
        <v>26</v>
      </c>
      <c r="F16" s="10" t="s">
        <v>27</v>
      </c>
      <c r="G16" s="13" t="n">
        <f aca="false">IF(OR($A16="",$D16="",$C16=""),"",MAX(0,$B$3-$D16))</f>
        <v>390</v>
      </c>
      <c r="H16" s="13" t="n">
        <f aca="false">IF($G16="","",IF(OR($E16="nie",$B$3&lt;=$D16),0,INT(DATEDIF($D16,$B$3,"m")/$B$5)))</f>
        <v>4</v>
      </c>
      <c r="I16" s="13" t="n">
        <f aca="false">IF($H16="","",IF($E16="nie",0,MAX(0,$B$3-EDATE($D16,$H16*$B$5))))</f>
        <v>25</v>
      </c>
      <c r="J16" s="14" t="n">
        <f aca="false">IF($H16="","",$C16*(1+$B$6)^$H16)</f>
        <v>22076.2578125</v>
      </c>
      <c r="K16" s="14" t="n">
        <f aca="false">IF($H16="","",IF($E16="nie",0,$J16*(1+$B$4*$I16/365)-$C16))</f>
        <v>2227.46505779109</v>
      </c>
      <c r="L16" s="15" t="n">
        <f aca="false">IF($H16="","",$C16+$K16)</f>
        <v>22227.4650577911</v>
      </c>
      <c r="M16" s="10"/>
    </row>
    <row r="17" customFormat="false" ht="15" hidden="false" customHeight="false" outlineLevel="0" collapsed="false">
      <c r="A17" s="10" t="s">
        <v>24</v>
      </c>
      <c r="B17" s="10" t="s">
        <v>34</v>
      </c>
      <c r="C17" s="11" t="n">
        <v>739.23</v>
      </c>
      <c r="D17" s="12" t="n">
        <v>45798</v>
      </c>
      <c r="E17" s="10" t="s">
        <v>26</v>
      </c>
      <c r="F17" s="10" t="s">
        <v>27</v>
      </c>
      <c r="G17" s="13" t="n">
        <f aca="false">IF(OR($A17="",$D17="",$C17=""),"",MAX(0,$B$3-$D17))</f>
        <v>508</v>
      </c>
      <c r="H17" s="13" t="n">
        <f aca="false">IF($G17="","",IF(OR($E17="nie",$B$3&lt;=$D17),0,INT(DATEDIF($D17,$B$3,"m")/$B$5)))</f>
        <v>5</v>
      </c>
      <c r="I17" s="13" t="n">
        <f aca="false">IF($H17="","",IF($E17="nie",0,MAX(0,$B$3-EDATE($D17,$H17*$B$5))))</f>
        <v>51</v>
      </c>
      <c r="J17" s="14" t="n">
        <f aca="false">IF($H17="","",$C17*(1+$B$6)^$H17)</f>
        <v>836.370893215136</v>
      </c>
      <c r="K17" s="14" t="n">
        <f aca="false">IF($H17="","",IF($E17="nie",0,$J17*(1+$B$4*$I17/365)-$C17))</f>
        <v>108.827171449101</v>
      </c>
      <c r="L17" s="15" t="n">
        <f aca="false">IF($H17="","",$C17+$K17)</f>
        <v>848.057171449101</v>
      </c>
      <c r="M17" s="10" t="s">
        <v>35</v>
      </c>
    </row>
    <row r="18" customFormat="false" ht="15" hidden="false" customHeight="false" outlineLevel="0" collapsed="false">
      <c r="A18" s="10" t="s">
        <v>24</v>
      </c>
      <c r="B18" s="10" t="s">
        <v>36</v>
      </c>
      <c r="C18" s="11" t="n">
        <v>9692.15</v>
      </c>
      <c r="D18" s="12" t="n">
        <v>45792</v>
      </c>
      <c r="E18" s="10" t="s">
        <v>26</v>
      </c>
      <c r="F18" s="10" t="s">
        <v>27</v>
      </c>
      <c r="G18" s="13" t="n">
        <f aca="false">IF(OR($A18="",$D18="",$C18=""),"",MAX(0,$B$3-$D18))</f>
        <v>514</v>
      </c>
      <c r="H18" s="13" t="n">
        <f aca="false">IF($G18="","",IF(OR($E18="nie",$B$3&lt;=$D18),0,INT(DATEDIF($D18,$B$3,"m")/$B$5)))</f>
        <v>5</v>
      </c>
      <c r="I18" s="13" t="n">
        <f aca="false">IF($H18="","",IF($E18="nie",0,MAX(0,$B$3-EDATE($D18,$H18*$B$5))))</f>
        <v>57</v>
      </c>
      <c r="J18" s="14" t="n">
        <f aca="false">IF($H18="","",$C18*(1+$B$6)^$H18)</f>
        <v>10965.7781105679</v>
      </c>
      <c r="K18" s="14" t="n">
        <f aca="false">IF($H18="","",IF($E18="nie",0,$J18*(1+$B$4*$I18/365)-$C18))</f>
        <v>1444.87450845893</v>
      </c>
      <c r="L18" s="15" t="n">
        <f aca="false">IF($H18="","",$C18+$K18)</f>
        <v>11137.0245084589</v>
      </c>
      <c r="M18" s="10" t="s">
        <v>35</v>
      </c>
    </row>
    <row r="19" customFormat="false" ht="15" hidden="false" customHeight="false" outlineLevel="0" collapsed="false">
      <c r="A19" s="10" t="s">
        <v>37</v>
      </c>
      <c r="B19" s="10" t="s">
        <v>38</v>
      </c>
      <c r="C19" s="11" t="n">
        <v>40000</v>
      </c>
      <c r="D19" s="12" t="n">
        <v>44926</v>
      </c>
      <c r="E19" s="10" t="s">
        <v>26</v>
      </c>
      <c r="F19" s="10" t="s">
        <v>27</v>
      </c>
      <c r="G19" s="13" t="n">
        <f aca="false">IF(OR($A19="",$D19="",$C19=""),"",MAX(0,$B$3-$D19))</f>
        <v>1380</v>
      </c>
      <c r="H19" s="13" t="n">
        <f aca="false">IF($G19="","",IF(OR($E19="nie",$B$3&lt;=$D19),0,INT(DATEDIF($D19,$B$3,"m")/$B$5)))</f>
        <v>15</v>
      </c>
      <c r="I19" s="13" t="n">
        <f aca="false">IF($H19="","",IF($E19="nie",0,MAX(0,$B$3-EDATE($D19,$H19*$B$5))))</f>
        <v>11</v>
      </c>
      <c r="J19" s="14" t="n">
        <f aca="false">IF($H19="","",$C19*(1+$B$6)^$H19)</f>
        <v>57931.9266599244</v>
      </c>
      <c r="K19" s="14" t="n">
        <f aca="false">IF($H19="","",IF($E19="nie",0,$J19*(1+$B$4*$I19/365)-$C19))</f>
        <v>18106.5160279406</v>
      </c>
      <c r="L19" s="15" t="n">
        <f aca="false">IF($H19="","",$C19+$K19)</f>
        <v>58106.5160279406</v>
      </c>
      <c r="M19" s="10" t="s">
        <v>39</v>
      </c>
    </row>
    <row r="20" customFormat="false" ht="15" hidden="false" customHeight="false" outlineLevel="0" collapsed="false">
      <c r="A20" s="10" t="s">
        <v>37</v>
      </c>
      <c r="B20" s="10" t="s">
        <v>40</v>
      </c>
      <c r="C20" s="11" t="n">
        <v>30000</v>
      </c>
      <c r="D20" s="12" t="n">
        <v>45657</v>
      </c>
      <c r="E20" s="10" t="s">
        <v>26</v>
      </c>
      <c r="F20" s="10" t="s">
        <v>27</v>
      </c>
      <c r="G20" s="13" t="n">
        <f aca="false">IF(OR($A20="",$D20="",$C20=""),"",MAX(0,$B$3-$D20))</f>
        <v>649</v>
      </c>
      <c r="H20" s="13" t="n">
        <f aca="false">IF($G20="","",IF(OR($E20="nie",$B$3&lt;=$D20),0,INT(DATEDIF($D20,$B$3,"m")/$B$5)))</f>
        <v>7</v>
      </c>
      <c r="I20" s="13" t="n">
        <f aca="false">IF($H20="","",IF($E20="nie",0,MAX(0,$B$3-EDATE($D20,$H20*$B$5))))</f>
        <v>11</v>
      </c>
      <c r="J20" s="14" t="n">
        <f aca="false">IF($H20="","",$C20*(1+$B$6)^$H20)</f>
        <v>35660.5726100464</v>
      </c>
      <c r="K20" s="14" t="n">
        <f aca="false">IF($H20="","",IF($E20="nie",0,$J20*(1+$B$4*$I20/365)-$C20))</f>
        <v>5768.04282887116</v>
      </c>
      <c r="L20" s="15" t="n">
        <f aca="false">IF($H20="","",$C20+$K20)</f>
        <v>35768.0428288712</v>
      </c>
      <c r="M20" s="10" t="s">
        <v>29</v>
      </c>
    </row>
    <row r="21" customFormat="false" ht="15" hidden="false" customHeight="false" outlineLevel="0" collapsed="false">
      <c r="A21" s="10" t="s">
        <v>37</v>
      </c>
      <c r="B21" s="10" t="s">
        <v>41</v>
      </c>
      <c r="C21" s="11" t="n">
        <v>21000</v>
      </c>
      <c r="D21" s="12" t="n">
        <v>46022</v>
      </c>
      <c r="E21" s="10" t="s">
        <v>26</v>
      </c>
      <c r="F21" s="10" t="s">
        <v>27</v>
      </c>
      <c r="G21" s="13" t="n">
        <f aca="false">IF(OR($A21="",$D21="",$C21=""),"",MAX(0,$B$3-$D21))</f>
        <v>284</v>
      </c>
      <c r="H21" s="13" t="n">
        <f aca="false">IF($G21="","",IF(OR($E21="nie",$B$3&lt;=$D21),0,INT(DATEDIF($D21,$B$3,"m")/$B$5)))</f>
        <v>3</v>
      </c>
      <c r="I21" s="13" t="n">
        <f aca="false">IF($H21="","",IF($E21="nie",0,MAX(0,$B$3-EDATE($D21,$H21*$B$5))))</f>
        <v>11</v>
      </c>
      <c r="J21" s="14" t="n">
        <f aca="false">IF($H21="","",$C21*(1+$B$6)^$H21)</f>
        <v>22614.703125</v>
      </c>
      <c r="K21" s="14" t="n">
        <f aca="false">IF($H21="","",IF($E21="nie",0,$J21*(1+$B$4*$I21/365)-$C21))</f>
        <v>1682.85702482876</v>
      </c>
      <c r="L21" s="15" t="n">
        <f aca="false">IF($H21="","",$C21+$K21)</f>
        <v>22682.8570248288</v>
      </c>
      <c r="M21" s="10" t="s">
        <v>42</v>
      </c>
    </row>
    <row r="22" customFormat="false" ht="15" hidden="false" customHeight="false" outlineLevel="0" collapsed="false">
      <c r="A22" s="10" t="s">
        <v>37</v>
      </c>
      <c r="B22" s="10" t="s">
        <v>43</v>
      </c>
      <c r="C22" s="11" t="n">
        <v>61907</v>
      </c>
      <c r="D22" s="12" t="n">
        <v>46022</v>
      </c>
      <c r="E22" s="10" t="s">
        <v>26</v>
      </c>
      <c r="F22" s="10" t="s">
        <v>27</v>
      </c>
      <c r="G22" s="13" t="n">
        <f aca="false">IF(OR($A22="",$D22="",$C22=""),"",MAX(0,$B$3-$D22))</f>
        <v>284</v>
      </c>
      <c r="H22" s="13" t="n">
        <f aca="false">IF($G22="","",IF(OR($E22="nie",$B$3&lt;=$D22),0,INT(DATEDIF($D22,$B$3,"m")/$B$5)))</f>
        <v>3</v>
      </c>
      <c r="I22" s="13" t="n">
        <f aca="false">IF($H22="","",IF($E22="nie",0,MAX(0,$B$3-EDATE($D22,$H22*$B$5))))</f>
        <v>11</v>
      </c>
      <c r="J22" s="14" t="n">
        <f aca="false">IF($H22="","",$C22*(1+$B$6)^$H22)</f>
        <v>66667.067921875</v>
      </c>
      <c r="K22" s="14" t="n">
        <f aca="false">IF($H22="","",IF($E22="nie",0,$J22*(1+$B$4*$I22/365)-$C22))</f>
        <v>4960.98237314638</v>
      </c>
      <c r="L22" s="15" t="n">
        <f aca="false">IF($H22="","",$C22+$K22)</f>
        <v>66867.9823731464</v>
      </c>
      <c r="M22" s="10" t="s">
        <v>44</v>
      </c>
    </row>
    <row r="23" customFormat="false" ht="15" hidden="false" customHeight="false" outlineLevel="0" collapsed="false">
      <c r="A23" s="10" t="s">
        <v>45</v>
      </c>
      <c r="B23" s="10"/>
      <c r="C23" s="11"/>
      <c r="D23" s="12"/>
      <c r="E23" s="10" t="s">
        <v>46</v>
      </c>
      <c r="F23" s="10" t="s">
        <v>27</v>
      </c>
      <c r="G23" s="13" t="str">
        <f aca="false">IF(OR($A23="",$D23="",$C23=""),"",MAX(0,$B$3-$D23))</f>
        <v/>
      </c>
      <c r="H23" s="13" t="str">
        <f aca="false">IF($G23="","",IF(OR($E23="nie",$B$3&lt;=$D23),0,INT(DATEDIF($D23,$B$3,"m")/$B$5)))</f>
        <v/>
      </c>
      <c r="I23" s="13" t="str">
        <f aca="false">IF($H23="","",IF($E23="nie",0,MAX(0,$B$3-EDATE($D23,$H23*$B$5))))</f>
        <v/>
      </c>
      <c r="J23" s="14" t="str">
        <f aca="false">IF($H23="","",$C23*(1+$B$6)^$H23)</f>
        <v/>
      </c>
      <c r="K23" s="14" t="str">
        <f aca="false">IF($H23="","",IF($E23="nie",0,$J23*(1+$B$4*$I23/365)-$C23))</f>
        <v/>
      </c>
      <c r="L23" s="15" t="str">
        <f aca="false">IF($H23="","",$C23+$K23)</f>
        <v/>
      </c>
      <c r="M23" s="10" t="s">
        <v>47</v>
      </c>
    </row>
    <row r="24" customFormat="false" ht="15" hidden="false" customHeight="false" outlineLevel="0" collapsed="false">
      <c r="A24" s="10" t="s">
        <v>48</v>
      </c>
      <c r="B24" s="10"/>
      <c r="C24" s="11"/>
      <c r="D24" s="12"/>
      <c r="E24" s="10" t="s">
        <v>26</v>
      </c>
      <c r="F24" s="10" t="s">
        <v>27</v>
      </c>
      <c r="G24" s="13" t="str">
        <f aca="false">IF(OR($A24="",$D24="",$C24=""),"",MAX(0,$B$3-$D24))</f>
        <v/>
      </c>
      <c r="H24" s="13" t="str">
        <f aca="false">IF($G24="","",IF(OR($E24="nie",$B$3&lt;=$D24),0,INT(DATEDIF($D24,$B$3,"m")/$B$5)))</f>
        <v/>
      </c>
      <c r="I24" s="13" t="str">
        <f aca="false">IF($H24="","",IF($E24="nie",0,MAX(0,$B$3-EDATE($D24,$H24*$B$5))))</f>
        <v/>
      </c>
      <c r="J24" s="14" t="str">
        <f aca="false">IF($H24="","",$C24*(1+$B$6)^$H24)</f>
        <v/>
      </c>
      <c r="K24" s="14" t="str">
        <f aca="false">IF($H24="","",IF($E24="nie",0,$J24*(1+$B$4*$I24/365)-$C24))</f>
        <v/>
      </c>
      <c r="L24" s="15" t="str">
        <f aca="false">IF($H24="","",$C24+$K24)</f>
        <v/>
      </c>
      <c r="M24" s="10" t="s">
        <v>49</v>
      </c>
    </row>
    <row r="25" customFormat="false" ht="15" hidden="false" customHeight="false" outlineLevel="0" collapsed="false">
      <c r="A25" s="10"/>
      <c r="B25" s="10"/>
      <c r="C25" s="11"/>
      <c r="D25" s="12"/>
      <c r="E25" s="10"/>
      <c r="F25" s="10"/>
      <c r="G25" s="13" t="str">
        <f aca="false">IF(OR($A25="",$D25="",$C25=""),"",MAX(0,$B$3-$D25))</f>
        <v/>
      </c>
      <c r="H25" s="13" t="str">
        <f aca="false">IF($G25="","",IF(OR($E25="nie",$B$3&lt;=$D25),0,INT(DATEDIF($D25,$B$3,"m")/$B$5)))</f>
        <v/>
      </c>
      <c r="I25" s="13" t="str">
        <f aca="false">IF($H25="","",IF($E25="nie",0,MAX(0,$B$3-EDATE($D25,$H25*$B$5))))</f>
        <v/>
      </c>
      <c r="J25" s="14" t="str">
        <f aca="false">IF($H25="","",$C25*(1+$B$6)^$H25)</f>
        <v/>
      </c>
      <c r="K25" s="14" t="str">
        <f aca="false">IF($H25="","",IF($E25="nie",0,$J25*(1+$B$4*$I25/365)-$C25))</f>
        <v/>
      </c>
      <c r="L25" s="15" t="str">
        <f aca="false">IF($H25="","",$C25+$K25)</f>
        <v/>
      </c>
      <c r="M25" s="10"/>
    </row>
    <row r="26" customFormat="false" ht="15" hidden="false" customHeight="false" outlineLevel="0" collapsed="false">
      <c r="A26" s="10"/>
      <c r="B26" s="10"/>
      <c r="C26" s="11"/>
      <c r="D26" s="12"/>
      <c r="E26" s="10"/>
      <c r="F26" s="10"/>
      <c r="G26" s="13" t="str">
        <f aca="false">IF(OR($A26="",$D26="",$C26=""),"",MAX(0,$B$3-$D26))</f>
        <v/>
      </c>
      <c r="H26" s="13" t="str">
        <f aca="false">IF($G26="","",IF(OR($E26="nie",$B$3&lt;=$D26),0,INT(DATEDIF($D26,$B$3,"m")/$B$5)))</f>
        <v/>
      </c>
      <c r="I26" s="13" t="str">
        <f aca="false">IF($H26="","",IF($E26="nie",0,MAX(0,$B$3-EDATE($D26,$H26*$B$5))))</f>
        <v/>
      </c>
      <c r="J26" s="14" t="str">
        <f aca="false">IF($H26="","",$C26*(1+$B$6)^$H26)</f>
        <v/>
      </c>
      <c r="K26" s="14" t="str">
        <f aca="false">IF($H26="","",IF($E26="nie",0,$J26*(1+$B$4*$I26/365)-$C26))</f>
        <v/>
      </c>
      <c r="L26" s="15" t="str">
        <f aca="false">IF($H26="","",$C26+$K26)</f>
        <v/>
      </c>
      <c r="M26" s="10"/>
    </row>
    <row r="27" customFormat="false" ht="15" hidden="false" customHeight="false" outlineLevel="0" collapsed="false">
      <c r="A27" s="10"/>
      <c r="B27" s="10"/>
      <c r="C27" s="11"/>
      <c r="D27" s="12"/>
      <c r="E27" s="10"/>
      <c r="F27" s="10"/>
      <c r="G27" s="13" t="str">
        <f aca="false">IF(OR($A27="",$D27="",$C27=""),"",MAX(0,$B$3-$D27))</f>
        <v/>
      </c>
      <c r="H27" s="13" t="str">
        <f aca="false">IF($G27="","",IF(OR($E27="nie",$B$3&lt;=$D27),0,INT(DATEDIF($D27,$B$3,"m")/$B$5)))</f>
        <v/>
      </c>
      <c r="I27" s="13" t="str">
        <f aca="false">IF($H27="","",IF($E27="nie",0,MAX(0,$B$3-EDATE($D27,$H27*$B$5))))</f>
        <v/>
      </c>
      <c r="J27" s="14" t="str">
        <f aca="false">IF($H27="","",$C27*(1+$B$6)^$H27)</f>
        <v/>
      </c>
      <c r="K27" s="14" t="str">
        <f aca="false">IF($H27="","",IF($E27="nie",0,$J27*(1+$B$4*$I27/365)-$C27))</f>
        <v/>
      </c>
      <c r="L27" s="15" t="str">
        <f aca="false">IF($H27="","",$C27+$K27)</f>
        <v/>
      </c>
      <c r="M27" s="10"/>
    </row>
    <row r="28" customFormat="false" ht="15" hidden="false" customHeight="false" outlineLevel="0" collapsed="false">
      <c r="A28" s="10"/>
      <c r="B28" s="10"/>
      <c r="C28" s="11"/>
      <c r="D28" s="12"/>
      <c r="E28" s="10"/>
      <c r="F28" s="10"/>
      <c r="G28" s="13" t="str">
        <f aca="false">IF(OR($A28="",$D28="",$C28=""),"",MAX(0,$B$3-$D28))</f>
        <v/>
      </c>
      <c r="H28" s="13" t="str">
        <f aca="false">IF($G28="","",IF(OR($E28="nie",$B$3&lt;=$D28),0,INT(DATEDIF($D28,$B$3,"m")/$B$5)))</f>
        <v/>
      </c>
      <c r="I28" s="13" t="str">
        <f aca="false">IF($H28="","",IF($E28="nie",0,MAX(0,$B$3-EDATE($D28,$H28*$B$5))))</f>
        <v/>
      </c>
      <c r="J28" s="14" t="str">
        <f aca="false">IF($H28="","",$C28*(1+$B$6)^$H28)</f>
        <v/>
      </c>
      <c r="K28" s="14" t="str">
        <f aca="false">IF($H28="","",IF($E28="nie",0,$J28*(1+$B$4*$I28/365)-$C28))</f>
        <v/>
      </c>
      <c r="L28" s="15" t="str">
        <f aca="false">IF($H28="","",$C28+$K28)</f>
        <v/>
      </c>
      <c r="M28" s="10"/>
    </row>
    <row r="29" customFormat="false" ht="15" hidden="false" customHeight="false" outlineLevel="0" collapsed="false">
      <c r="A29" s="10"/>
      <c r="B29" s="10"/>
      <c r="C29" s="11"/>
      <c r="D29" s="12"/>
      <c r="E29" s="10"/>
      <c r="F29" s="10"/>
      <c r="G29" s="13" t="str">
        <f aca="false">IF(OR($A29="",$D29="",$C29=""),"",MAX(0,$B$3-$D29))</f>
        <v/>
      </c>
      <c r="H29" s="13" t="str">
        <f aca="false">IF($G29="","",IF(OR($E29="nie",$B$3&lt;=$D29),0,INT(DATEDIF($D29,$B$3,"m")/$B$5)))</f>
        <v/>
      </c>
      <c r="I29" s="13" t="str">
        <f aca="false">IF($H29="","",IF($E29="nie",0,MAX(0,$B$3-EDATE($D29,$H29*$B$5))))</f>
        <v/>
      </c>
      <c r="J29" s="14" t="str">
        <f aca="false">IF($H29="","",$C29*(1+$B$6)^$H29)</f>
        <v/>
      </c>
      <c r="K29" s="14" t="str">
        <f aca="false">IF($H29="","",IF($E29="nie",0,$J29*(1+$B$4*$I29/365)-$C29))</f>
        <v/>
      </c>
      <c r="L29" s="15" t="str">
        <f aca="false">IF($H29="","",$C29+$K29)</f>
        <v/>
      </c>
      <c r="M29" s="10"/>
    </row>
    <row r="30" customFormat="false" ht="15" hidden="false" customHeight="false" outlineLevel="0" collapsed="false">
      <c r="A30" s="10"/>
      <c r="B30" s="10"/>
      <c r="C30" s="11"/>
      <c r="D30" s="12"/>
      <c r="E30" s="10"/>
      <c r="F30" s="10"/>
      <c r="G30" s="13" t="str">
        <f aca="false">IF(OR($A30="",$D30="",$C30=""),"",MAX(0,$B$3-$D30))</f>
        <v/>
      </c>
      <c r="H30" s="13" t="str">
        <f aca="false">IF($G30="","",IF(OR($E30="nie",$B$3&lt;=$D30),0,INT(DATEDIF($D30,$B$3,"m")/$B$5)))</f>
        <v/>
      </c>
      <c r="I30" s="13" t="str">
        <f aca="false">IF($H30="","",IF($E30="nie",0,MAX(0,$B$3-EDATE($D30,$H30*$B$5))))</f>
        <v/>
      </c>
      <c r="J30" s="14" t="str">
        <f aca="false">IF($H30="","",$C30*(1+$B$6)^$H30)</f>
        <v/>
      </c>
      <c r="K30" s="14" t="str">
        <f aca="false">IF($H30="","",IF($E30="nie",0,$J30*(1+$B$4*$I30/365)-$C30))</f>
        <v/>
      </c>
      <c r="L30" s="15" t="str">
        <f aca="false">IF($H30="","",$C30+$K30)</f>
        <v/>
      </c>
      <c r="M30" s="10"/>
    </row>
    <row r="31" customFormat="false" ht="15" hidden="false" customHeight="false" outlineLevel="0" collapsed="false">
      <c r="A31" s="10"/>
      <c r="B31" s="10"/>
      <c r="C31" s="11"/>
      <c r="D31" s="12"/>
      <c r="E31" s="10"/>
      <c r="F31" s="10"/>
      <c r="G31" s="13" t="str">
        <f aca="false">IF(OR($A31="",$D31="",$C31=""),"",MAX(0,$B$3-$D31))</f>
        <v/>
      </c>
      <c r="H31" s="13" t="str">
        <f aca="false">IF($G31="","",IF(OR($E31="nie",$B$3&lt;=$D31),0,INT(DATEDIF($D31,$B$3,"m")/$B$5)))</f>
        <v/>
      </c>
      <c r="I31" s="13" t="str">
        <f aca="false">IF($H31="","",IF($E31="nie",0,MAX(0,$B$3-EDATE($D31,$H31*$B$5))))</f>
        <v/>
      </c>
      <c r="J31" s="14" t="str">
        <f aca="false">IF($H31="","",$C31*(1+$B$6)^$H31)</f>
        <v/>
      </c>
      <c r="K31" s="14" t="str">
        <f aca="false">IF($H31="","",IF($E31="nie",0,$J31*(1+$B$4*$I31/365)-$C31))</f>
        <v/>
      </c>
      <c r="L31" s="15" t="str">
        <f aca="false">IF($H31="","",$C31+$K31)</f>
        <v/>
      </c>
      <c r="M31" s="10"/>
    </row>
    <row r="32" customFormat="false" ht="15" hidden="false" customHeight="false" outlineLevel="0" collapsed="false">
      <c r="A32" s="10"/>
      <c r="B32" s="10"/>
      <c r="C32" s="11"/>
      <c r="D32" s="12"/>
      <c r="E32" s="10"/>
      <c r="F32" s="10"/>
      <c r="G32" s="13" t="str">
        <f aca="false">IF(OR($A32="",$D32="",$C32=""),"",MAX(0,$B$3-$D32))</f>
        <v/>
      </c>
      <c r="H32" s="13" t="str">
        <f aca="false">IF($G32="","",IF(OR($E32="nie",$B$3&lt;=$D32),0,INT(DATEDIF($D32,$B$3,"m")/$B$5)))</f>
        <v/>
      </c>
      <c r="I32" s="13" t="str">
        <f aca="false">IF($H32="","",IF($E32="nie",0,MAX(0,$B$3-EDATE($D32,$H32*$B$5))))</f>
        <v/>
      </c>
      <c r="J32" s="14" t="str">
        <f aca="false">IF($H32="","",$C32*(1+$B$6)^$H32)</f>
        <v/>
      </c>
      <c r="K32" s="14" t="str">
        <f aca="false">IF($H32="","",IF($E32="nie",0,$J32*(1+$B$4*$I32/365)-$C32))</f>
        <v/>
      </c>
      <c r="L32" s="15" t="str">
        <f aca="false">IF($H32="","",$C32+$K32)</f>
        <v/>
      </c>
      <c r="M32" s="10"/>
    </row>
    <row r="33" customFormat="false" ht="15" hidden="false" customHeight="false" outlineLevel="0" collapsed="false">
      <c r="A33" s="10"/>
      <c r="B33" s="10"/>
      <c r="C33" s="11"/>
      <c r="D33" s="12"/>
      <c r="E33" s="10"/>
      <c r="F33" s="10"/>
      <c r="G33" s="13" t="str">
        <f aca="false">IF(OR($A33="",$D33="",$C33=""),"",MAX(0,$B$3-$D33))</f>
        <v/>
      </c>
      <c r="H33" s="13" t="str">
        <f aca="false">IF($G33="","",IF(OR($E33="nie",$B$3&lt;=$D33),0,INT(DATEDIF($D33,$B$3,"m")/$B$5)))</f>
        <v/>
      </c>
      <c r="I33" s="13" t="str">
        <f aca="false">IF($H33="","",IF($E33="nie",0,MAX(0,$B$3-EDATE($D33,$H33*$B$5))))</f>
        <v/>
      </c>
      <c r="J33" s="14" t="str">
        <f aca="false">IF($H33="","",$C33*(1+$B$6)^$H33)</f>
        <v/>
      </c>
      <c r="K33" s="14" t="str">
        <f aca="false">IF($H33="","",IF($E33="nie",0,$J33*(1+$B$4*$I33/365)-$C33))</f>
        <v/>
      </c>
      <c r="L33" s="15" t="str">
        <f aca="false">IF($H33="","",$C33+$K33)</f>
        <v/>
      </c>
      <c r="M33" s="10"/>
    </row>
    <row r="34" customFormat="false" ht="15" hidden="false" customHeight="false" outlineLevel="0" collapsed="false">
      <c r="A34" s="10"/>
      <c r="B34" s="10"/>
      <c r="C34" s="11"/>
      <c r="D34" s="12"/>
      <c r="E34" s="10"/>
      <c r="F34" s="10"/>
      <c r="G34" s="13" t="str">
        <f aca="false">IF(OR($A34="",$D34="",$C34=""),"",MAX(0,$B$3-$D34))</f>
        <v/>
      </c>
      <c r="H34" s="13" t="str">
        <f aca="false">IF($G34="","",IF(OR($E34="nie",$B$3&lt;=$D34),0,INT(DATEDIF($D34,$B$3,"m")/$B$5)))</f>
        <v/>
      </c>
      <c r="I34" s="13" t="str">
        <f aca="false">IF($H34="","",IF($E34="nie",0,MAX(0,$B$3-EDATE($D34,$H34*$B$5))))</f>
        <v/>
      </c>
      <c r="J34" s="14" t="str">
        <f aca="false">IF($H34="","",$C34*(1+$B$6)^$H34)</f>
        <v/>
      </c>
      <c r="K34" s="14" t="str">
        <f aca="false">IF($H34="","",IF($E34="nie",0,$J34*(1+$B$4*$I34/365)-$C34))</f>
        <v/>
      </c>
      <c r="L34" s="15" t="str">
        <f aca="false">IF($H34="","",$C34+$K34)</f>
        <v/>
      </c>
      <c r="M34" s="10"/>
    </row>
    <row r="35" customFormat="false" ht="15" hidden="false" customHeight="false" outlineLevel="0" collapsed="false">
      <c r="A35" s="10"/>
      <c r="B35" s="10"/>
      <c r="C35" s="11"/>
      <c r="D35" s="12"/>
      <c r="E35" s="10"/>
      <c r="F35" s="10"/>
      <c r="G35" s="13" t="str">
        <f aca="false">IF(OR($A35="",$D35="",$C35=""),"",MAX(0,$B$3-$D35))</f>
        <v/>
      </c>
      <c r="H35" s="13" t="str">
        <f aca="false">IF($G35="","",IF(OR($E35="nie",$B$3&lt;=$D35),0,INT(DATEDIF($D35,$B$3,"m")/$B$5)))</f>
        <v/>
      </c>
      <c r="I35" s="13" t="str">
        <f aca="false">IF($H35="","",IF($E35="nie",0,MAX(0,$B$3-EDATE($D35,$H35*$B$5))))</f>
        <v/>
      </c>
      <c r="J35" s="14" t="str">
        <f aca="false">IF($H35="","",$C35*(1+$B$6)^$H35)</f>
        <v/>
      </c>
      <c r="K35" s="14" t="str">
        <f aca="false">IF($H35="","",IF($E35="nie",0,$J35*(1+$B$4*$I35/365)-$C35))</f>
        <v/>
      </c>
      <c r="L35" s="15" t="str">
        <f aca="false">IF($H35="","",$C35+$K35)</f>
        <v/>
      </c>
      <c r="M35" s="10"/>
    </row>
    <row r="36" customFormat="false" ht="15" hidden="false" customHeight="false" outlineLevel="0" collapsed="false">
      <c r="A36" s="10"/>
      <c r="B36" s="10"/>
      <c r="C36" s="11"/>
      <c r="D36" s="12"/>
      <c r="E36" s="10"/>
      <c r="F36" s="10"/>
      <c r="G36" s="13" t="str">
        <f aca="false">IF(OR($A36="",$D36="",$C36=""),"",MAX(0,$B$3-$D36))</f>
        <v/>
      </c>
      <c r="H36" s="13" t="str">
        <f aca="false">IF($G36="","",IF(OR($E36="nie",$B$3&lt;=$D36),0,INT(DATEDIF($D36,$B$3,"m")/$B$5)))</f>
        <v/>
      </c>
      <c r="I36" s="13" t="str">
        <f aca="false">IF($H36="","",IF($E36="nie",0,MAX(0,$B$3-EDATE($D36,$H36*$B$5))))</f>
        <v/>
      </c>
      <c r="J36" s="14" t="str">
        <f aca="false">IF($H36="","",$C36*(1+$B$6)^$H36)</f>
        <v/>
      </c>
      <c r="K36" s="14" t="str">
        <f aca="false">IF($H36="","",IF($E36="nie",0,$J36*(1+$B$4*$I36/365)-$C36))</f>
        <v/>
      </c>
      <c r="L36" s="15" t="str">
        <f aca="false">IF($H36="","",$C36+$K36)</f>
        <v/>
      </c>
      <c r="M36" s="10"/>
    </row>
    <row r="37" customFormat="false" ht="15" hidden="false" customHeight="false" outlineLevel="0" collapsed="false">
      <c r="A37" s="10"/>
      <c r="B37" s="10"/>
      <c r="C37" s="11"/>
      <c r="D37" s="12"/>
      <c r="E37" s="10"/>
      <c r="F37" s="10"/>
      <c r="G37" s="13" t="str">
        <f aca="false">IF(OR($A37="",$D37="",$C37=""),"",MAX(0,$B$3-$D37))</f>
        <v/>
      </c>
      <c r="H37" s="13" t="str">
        <f aca="false">IF($G37="","",IF(OR($E37="nie",$B$3&lt;=$D37),0,INT(DATEDIF($D37,$B$3,"m")/$B$5)))</f>
        <v/>
      </c>
      <c r="I37" s="13" t="str">
        <f aca="false">IF($H37="","",IF($E37="nie",0,MAX(0,$B$3-EDATE($D37,$H37*$B$5))))</f>
        <v/>
      </c>
      <c r="J37" s="14" t="str">
        <f aca="false">IF($H37="","",$C37*(1+$B$6)^$H37)</f>
        <v/>
      </c>
      <c r="K37" s="14" t="str">
        <f aca="false">IF($H37="","",IF($E37="nie",0,$J37*(1+$B$4*$I37/365)-$C37))</f>
        <v/>
      </c>
      <c r="L37" s="15" t="str">
        <f aca="false">IF($H37="","",$C37+$K37)</f>
        <v/>
      </c>
      <c r="M37" s="10"/>
    </row>
    <row r="38" customFormat="false" ht="15" hidden="false" customHeight="false" outlineLevel="0" collapsed="false">
      <c r="A38" s="10"/>
      <c r="B38" s="10"/>
      <c r="C38" s="11"/>
      <c r="D38" s="12"/>
      <c r="E38" s="10"/>
      <c r="F38" s="10"/>
      <c r="G38" s="13" t="str">
        <f aca="false">IF(OR($A38="",$D38="",$C38=""),"",MAX(0,$B$3-$D38))</f>
        <v/>
      </c>
      <c r="H38" s="13" t="str">
        <f aca="false">IF($G38="","",IF(OR($E38="nie",$B$3&lt;=$D38),0,INT(DATEDIF($D38,$B$3,"m")/$B$5)))</f>
        <v/>
      </c>
      <c r="I38" s="13" t="str">
        <f aca="false">IF($H38="","",IF($E38="nie",0,MAX(0,$B$3-EDATE($D38,$H38*$B$5))))</f>
        <v/>
      </c>
      <c r="J38" s="14" t="str">
        <f aca="false">IF($H38="","",$C38*(1+$B$6)^$H38)</f>
        <v/>
      </c>
      <c r="K38" s="14" t="str">
        <f aca="false">IF($H38="","",IF($E38="nie",0,$J38*(1+$B$4*$I38/365)-$C38))</f>
        <v/>
      </c>
      <c r="L38" s="15" t="str">
        <f aca="false">IF($H38="","",$C38+$K38)</f>
        <v/>
      </c>
      <c r="M38" s="10"/>
    </row>
    <row r="39" customFormat="false" ht="15" hidden="false" customHeight="false" outlineLevel="0" collapsed="false">
      <c r="A39" s="10"/>
      <c r="B39" s="10"/>
      <c r="C39" s="11"/>
      <c r="D39" s="12"/>
      <c r="E39" s="10"/>
      <c r="F39" s="10"/>
      <c r="G39" s="13" t="str">
        <f aca="false">IF(OR($A39="",$D39="",$C39=""),"",MAX(0,$B$3-$D39))</f>
        <v/>
      </c>
      <c r="H39" s="13" t="str">
        <f aca="false">IF($G39="","",IF(OR($E39="nie",$B$3&lt;=$D39),0,INT(DATEDIF($D39,$B$3,"m")/$B$5)))</f>
        <v/>
      </c>
      <c r="I39" s="13" t="str">
        <f aca="false">IF($H39="","",IF($E39="nie",0,MAX(0,$B$3-EDATE($D39,$H39*$B$5))))</f>
        <v/>
      </c>
      <c r="J39" s="14" t="str">
        <f aca="false">IF($H39="","",$C39*(1+$B$6)^$H39)</f>
        <v/>
      </c>
      <c r="K39" s="14" t="str">
        <f aca="false">IF($H39="","",IF($E39="nie",0,$J39*(1+$B$4*$I39/365)-$C39))</f>
        <v/>
      </c>
      <c r="L39" s="15" t="str">
        <f aca="false">IF($H39="","",$C39+$K39)</f>
        <v/>
      </c>
      <c r="M39" s="10"/>
    </row>
    <row r="40" customFormat="false" ht="15" hidden="false" customHeight="false" outlineLevel="0" collapsed="false">
      <c r="A40" s="10"/>
      <c r="B40" s="10"/>
      <c r="C40" s="11"/>
      <c r="D40" s="12"/>
      <c r="E40" s="10"/>
      <c r="F40" s="10"/>
      <c r="G40" s="13" t="str">
        <f aca="false">IF(OR($A40="",$D40="",$C40=""),"",MAX(0,$B$3-$D40))</f>
        <v/>
      </c>
      <c r="H40" s="13" t="str">
        <f aca="false">IF($G40="","",IF(OR($E40="nie",$B$3&lt;=$D40),0,INT(DATEDIF($D40,$B$3,"m")/$B$5)))</f>
        <v/>
      </c>
      <c r="I40" s="13" t="str">
        <f aca="false">IF($H40="","",IF($E40="nie",0,MAX(0,$B$3-EDATE($D40,$H40*$B$5))))</f>
        <v/>
      </c>
      <c r="J40" s="14" t="str">
        <f aca="false">IF($H40="","",$C40*(1+$B$6)^$H40)</f>
        <v/>
      </c>
      <c r="K40" s="14" t="str">
        <f aca="false">IF($H40="","",IF($E40="nie",0,$J40*(1+$B$4*$I40/365)-$C40))</f>
        <v/>
      </c>
      <c r="L40" s="15" t="str">
        <f aca="false">IF($H40="","",$C40+$K40)</f>
        <v/>
      </c>
      <c r="M40" s="10"/>
    </row>
    <row r="41" customFormat="false" ht="15" hidden="false" customHeight="false" outlineLevel="0" collapsed="false">
      <c r="A41" s="10"/>
      <c r="B41" s="10"/>
      <c r="C41" s="11"/>
      <c r="D41" s="12"/>
      <c r="E41" s="10"/>
      <c r="F41" s="10"/>
      <c r="G41" s="13" t="str">
        <f aca="false">IF(OR($A41="",$D41="",$C41=""),"",MAX(0,$B$3-$D41))</f>
        <v/>
      </c>
      <c r="H41" s="13" t="str">
        <f aca="false">IF($G41="","",IF(OR($E41="nie",$B$3&lt;=$D41),0,INT(DATEDIF($D41,$B$3,"m")/$B$5)))</f>
        <v/>
      </c>
      <c r="I41" s="13" t="str">
        <f aca="false">IF($H41="","",IF($E41="nie",0,MAX(0,$B$3-EDATE($D41,$H41*$B$5))))</f>
        <v/>
      </c>
      <c r="J41" s="14" t="str">
        <f aca="false">IF($H41="","",$C41*(1+$B$6)^$H41)</f>
        <v/>
      </c>
      <c r="K41" s="14" t="str">
        <f aca="false">IF($H41="","",IF($E41="nie",0,$J41*(1+$B$4*$I41/365)-$C41))</f>
        <v/>
      </c>
      <c r="L41" s="15" t="str">
        <f aca="false">IF($H41="","",$C41+$K41)</f>
        <v/>
      </c>
      <c r="M41" s="10"/>
    </row>
    <row r="42" customFormat="false" ht="15" hidden="false" customHeight="false" outlineLevel="0" collapsed="false">
      <c r="A42" s="10"/>
      <c r="B42" s="10"/>
      <c r="C42" s="11"/>
      <c r="D42" s="12"/>
      <c r="E42" s="10"/>
      <c r="F42" s="10"/>
      <c r="G42" s="13" t="str">
        <f aca="false">IF(OR($A42="",$D42="",$C42=""),"",MAX(0,$B$3-$D42))</f>
        <v/>
      </c>
      <c r="H42" s="13" t="str">
        <f aca="false">IF($G42="","",IF(OR($E42="nie",$B$3&lt;=$D42),0,INT(DATEDIF($D42,$B$3,"m")/$B$5)))</f>
        <v/>
      </c>
      <c r="I42" s="13" t="str">
        <f aca="false">IF($H42="","",IF($E42="nie",0,MAX(0,$B$3-EDATE($D42,$H42*$B$5))))</f>
        <v/>
      </c>
      <c r="J42" s="14" t="str">
        <f aca="false">IF($H42="","",$C42*(1+$B$6)^$H42)</f>
        <v/>
      </c>
      <c r="K42" s="14" t="str">
        <f aca="false">IF($H42="","",IF($E42="nie",0,$J42*(1+$B$4*$I42/365)-$C42))</f>
        <v/>
      </c>
      <c r="L42" s="15" t="str">
        <f aca="false">IF($H42="","",$C42+$K42)</f>
        <v/>
      </c>
      <c r="M42" s="10"/>
    </row>
    <row r="43" customFormat="false" ht="15" hidden="false" customHeight="false" outlineLevel="0" collapsed="false">
      <c r="A43" s="10"/>
      <c r="B43" s="10"/>
      <c r="C43" s="11"/>
      <c r="D43" s="12"/>
      <c r="E43" s="10"/>
      <c r="F43" s="10"/>
      <c r="G43" s="13" t="str">
        <f aca="false">IF(OR($A43="",$D43="",$C43=""),"",MAX(0,$B$3-$D43))</f>
        <v/>
      </c>
      <c r="H43" s="13" t="str">
        <f aca="false">IF($G43="","",IF(OR($E43="nie",$B$3&lt;=$D43),0,INT(DATEDIF($D43,$B$3,"m")/$B$5)))</f>
        <v/>
      </c>
      <c r="I43" s="13" t="str">
        <f aca="false">IF($H43="","",IF($E43="nie",0,MAX(0,$B$3-EDATE($D43,$H43*$B$5))))</f>
        <v/>
      </c>
      <c r="J43" s="14" t="str">
        <f aca="false">IF($H43="","",$C43*(1+$B$6)^$H43)</f>
        <v/>
      </c>
      <c r="K43" s="14" t="str">
        <f aca="false">IF($H43="","",IF($E43="nie",0,$J43*(1+$B$4*$I43/365)-$C43))</f>
        <v/>
      </c>
      <c r="L43" s="15" t="str">
        <f aca="false">IF($H43="","",$C43+$K43)</f>
        <v/>
      </c>
      <c r="M43" s="10"/>
    </row>
    <row r="44" customFormat="false" ht="15" hidden="false" customHeight="false" outlineLevel="0" collapsed="false">
      <c r="A44" s="10"/>
      <c r="B44" s="10"/>
      <c r="C44" s="11"/>
      <c r="D44" s="12"/>
      <c r="E44" s="10"/>
      <c r="F44" s="10"/>
      <c r="G44" s="13" t="str">
        <f aca="false">IF(OR($A44="",$D44="",$C44=""),"",MAX(0,$B$3-$D44))</f>
        <v/>
      </c>
      <c r="H44" s="13" t="str">
        <f aca="false">IF($G44="","",IF(OR($E44="nie",$B$3&lt;=$D44),0,INT(DATEDIF($D44,$B$3,"m")/$B$5)))</f>
        <v/>
      </c>
      <c r="I44" s="13" t="str">
        <f aca="false">IF($H44="","",IF($E44="nie",0,MAX(0,$B$3-EDATE($D44,$H44*$B$5))))</f>
        <v/>
      </c>
      <c r="J44" s="14" t="str">
        <f aca="false">IF($H44="","",$C44*(1+$B$6)^$H44)</f>
        <v/>
      </c>
      <c r="K44" s="14" t="str">
        <f aca="false">IF($H44="","",IF($E44="nie",0,$J44*(1+$B$4*$I44/365)-$C44))</f>
        <v/>
      </c>
      <c r="L44" s="15" t="str">
        <f aca="false">IF($H44="","",$C44+$K44)</f>
        <v/>
      </c>
      <c r="M44" s="10"/>
    </row>
    <row r="45" customFormat="false" ht="15" hidden="false" customHeight="false" outlineLevel="0" collapsed="false">
      <c r="A45" s="10"/>
      <c r="B45" s="10"/>
      <c r="C45" s="11"/>
      <c r="D45" s="12"/>
      <c r="E45" s="10"/>
      <c r="F45" s="10"/>
      <c r="G45" s="13" t="str">
        <f aca="false">IF(OR($A45="",$D45="",$C45=""),"",MAX(0,$B$3-$D45))</f>
        <v/>
      </c>
      <c r="H45" s="13" t="str">
        <f aca="false">IF($G45="","",IF(OR($E45="nie",$B$3&lt;=$D45),0,INT(DATEDIF($D45,$B$3,"m")/$B$5)))</f>
        <v/>
      </c>
      <c r="I45" s="13" t="str">
        <f aca="false">IF($H45="","",IF($E45="nie",0,MAX(0,$B$3-EDATE($D45,$H45*$B$5))))</f>
        <v/>
      </c>
      <c r="J45" s="14" t="str">
        <f aca="false">IF($H45="","",$C45*(1+$B$6)^$H45)</f>
        <v/>
      </c>
      <c r="K45" s="14" t="str">
        <f aca="false">IF($H45="","",IF($E45="nie",0,$J45*(1+$B$4*$I45/365)-$C45))</f>
        <v/>
      </c>
      <c r="L45" s="15" t="str">
        <f aca="false">IF($H45="","",$C45+$K45)</f>
        <v/>
      </c>
      <c r="M45" s="10"/>
    </row>
    <row r="46" customFormat="false" ht="15" hidden="false" customHeight="false" outlineLevel="0" collapsed="false">
      <c r="A46" s="10"/>
      <c r="B46" s="10"/>
      <c r="C46" s="11"/>
      <c r="D46" s="12"/>
      <c r="E46" s="10"/>
      <c r="F46" s="10"/>
      <c r="G46" s="13" t="str">
        <f aca="false">IF(OR($A46="",$D46="",$C46=""),"",MAX(0,$B$3-$D46))</f>
        <v/>
      </c>
      <c r="H46" s="13" t="str">
        <f aca="false">IF($G46="","",IF(OR($E46="nie",$B$3&lt;=$D46),0,INT(DATEDIF($D46,$B$3,"m")/$B$5)))</f>
        <v/>
      </c>
      <c r="I46" s="13" t="str">
        <f aca="false">IF($H46="","",IF($E46="nie",0,MAX(0,$B$3-EDATE($D46,$H46*$B$5))))</f>
        <v/>
      </c>
      <c r="J46" s="14" t="str">
        <f aca="false">IF($H46="","",$C46*(1+$B$6)^$H46)</f>
        <v/>
      </c>
      <c r="K46" s="14" t="str">
        <f aca="false">IF($H46="","",IF($E46="nie",0,$J46*(1+$B$4*$I46/365)-$C46))</f>
        <v/>
      </c>
      <c r="L46" s="15" t="str">
        <f aca="false">IF($H46="","",$C46+$K46)</f>
        <v/>
      </c>
      <c r="M46" s="10"/>
    </row>
    <row r="47" customFormat="false" ht="15" hidden="false" customHeight="false" outlineLevel="0" collapsed="false">
      <c r="A47" s="10"/>
      <c r="B47" s="10"/>
      <c r="C47" s="11"/>
      <c r="D47" s="12"/>
      <c r="E47" s="10"/>
      <c r="F47" s="10"/>
      <c r="G47" s="13" t="str">
        <f aca="false">IF(OR($A47="",$D47="",$C47=""),"",MAX(0,$B$3-$D47))</f>
        <v/>
      </c>
      <c r="H47" s="13" t="str">
        <f aca="false">IF($G47="","",IF(OR($E47="nie",$B$3&lt;=$D47),0,INT(DATEDIF($D47,$B$3,"m")/$B$5)))</f>
        <v/>
      </c>
      <c r="I47" s="13" t="str">
        <f aca="false">IF($H47="","",IF($E47="nie",0,MAX(0,$B$3-EDATE($D47,$H47*$B$5))))</f>
        <v/>
      </c>
      <c r="J47" s="14" t="str">
        <f aca="false">IF($H47="","",$C47*(1+$B$6)^$H47)</f>
        <v/>
      </c>
      <c r="K47" s="14" t="str">
        <f aca="false">IF($H47="","",IF($E47="nie",0,$J47*(1+$B$4*$I47/365)-$C47))</f>
        <v/>
      </c>
      <c r="L47" s="15" t="str">
        <f aca="false">IF($H47="","",$C47+$K47)</f>
        <v/>
      </c>
      <c r="M47" s="10"/>
    </row>
    <row r="48" customFormat="false" ht="15" hidden="false" customHeight="false" outlineLevel="0" collapsed="false">
      <c r="A48" s="10"/>
      <c r="B48" s="10"/>
      <c r="C48" s="11"/>
      <c r="D48" s="12"/>
      <c r="E48" s="10"/>
      <c r="F48" s="10"/>
      <c r="G48" s="13" t="str">
        <f aca="false">IF(OR($A48="",$D48="",$C48=""),"",MAX(0,$B$3-$D48))</f>
        <v/>
      </c>
      <c r="H48" s="13" t="str">
        <f aca="false">IF($G48="","",IF(OR($E48="nie",$B$3&lt;=$D48),0,INT(DATEDIF($D48,$B$3,"m")/$B$5)))</f>
        <v/>
      </c>
      <c r="I48" s="13" t="str">
        <f aca="false">IF($H48="","",IF($E48="nie",0,MAX(0,$B$3-EDATE($D48,$H48*$B$5))))</f>
        <v/>
      </c>
      <c r="J48" s="14" t="str">
        <f aca="false">IF($H48="","",$C48*(1+$B$6)^$H48)</f>
        <v/>
      </c>
      <c r="K48" s="14" t="str">
        <f aca="false">IF($H48="","",IF($E48="nie",0,$J48*(1+$B$4*$I48/365)-$C48))</f>
        <v/>
      </c>
      <c r="L48" s="15" t="str">
        <f aca="false">IF($H48="","",$C48+$K48)</f>
        <v/>
      </c>
      <c r="M48" s="10"/>
    </row>
    <row r="49" customFormat="false" ht="15" hidden="false" customHeight="false" outlineLevel="0" collapsed="false">
      <c r="A49" s="10"/>
      <c r="B49" s="10"/>
      <c r="C49" s="11"/>
      <c r="D49" s="12"/>
      <c r="E49" s="10"/>
      <c r="F49" s="10"/>
      <c r="G49" s="13" t="str">
        <f aca="false">IF(OR($A49="",$D49="",$C49=""),"",MAX(0,$B$3-$D49))</f>
        <v/>
      </c>
      <c r="H49" s="13" t="str">
        <f aca="false">IF($G49="","",IF(OR($E49="nie",$B$3&lt;=$D49),0,INT(DATEDIF($D49,$B$3,"m")/$B$5)))</f>
        <v/>
      </c>
      <c r="I49" s="13" t="str">
        <f aca="false">IF($H49="","",IF($E49="nie",0,MAX(0,$B$3-EDATE($D49,$H49*$B$5))))</f>
        <v/>
      </c>
      <c r="J49" s="14" t="str">
        <f aca="false">IF($H49="","",$C49*(1+$B$6)^$H49)</f>
        <v/>
      </c>
      <c r="K49" s="14" t="str">
        <f aca="false">IF($H49="","",IF($E49="nie",0,$J49*(1+$B$4*$I49/365)-$C49))</f>
        <v/>
      </c>
      <c r="L49" s="15" t="str">
        <f aca="false">IF($H49="","",$C49+$K49)</f>
        <v/>
      </c>
      <c r="M49" s="10"/>
    </row>
    <row r="50" customFormat="false" ht="15" hidden="false" customHeight="false" outlineLevel="0" collapsed="false">
      <c r="A50" s="10"/>
      <c r="B50" s="10"/>
      <c r="C50" s="11"/>
      <c r="D50" s="12"/>
      <c r="E50" s="10"/>
      <c r="F50" s="10"/>
      <c r="G50" s="13" t="str">
        <f aca="false">IF(OR($A50="",$D50="",$C50=""),"",MAX(0,$B$3-$D50))</f>
        <v/>
      </c>
      <c r="H50" s="13" t="str">
        <f aca="false">IF($G50="","",IF(OR($E50="nie",$B$3&lt;=$D50),0,INT(DATEDIF($D50,$B$3,"m")/$B$5)))</f>
        <v/>
      </c>
      <c r="I50" s="13" t="str">
        <f aca="false">IF($H50="","",IF($E50="nie",0,MAX(0,$B$3-EDATE($D50,$H50*$B$5))))</f>
        <v/>
      </c>
      <c r="J50" s="14" t="str">
        <f aca="false">IF($H50="","",$C50*(1+$B$6)^$H50)</f>
        <v/>
      </c>
      <c r="K50" s="14" t="str">
        <f aca="false">IF($H50="","",IF($E50="nie",0,$J50*(1+$B$4*$I50/365)-$C50))</f>
        <v/>
      </c>
      <c r="L50" s="15" t="str">
        <f aca="false">IF($H50="","",$C50+$K50)</f>
        <v/>
      </c>
      <c r="M50" s="10"/>
    </row>
    <row r="51" customFormat="false" ht="15" hidden="false" customHeight="false" outlineLevel="0" collapsed="false">
      <c r="A51" s="10"/>
      <c r="B51" s="10"/>
      <c r="C51" s="11"/>
      <c r="D51" s="12"/>
      <c r="E51" s="10"/>
      <c r="F51" s="10"/>
      <c r="G51" s="13" t="str">
        <f aca="false">IF(OR($A51="",$D51="",$C51=""),"",MAX(0,$B$3-$D51))</f>
        <v/>
      </c>
      <c r="H51" s="13" t="str">
        <f aca="false">IF($G51="","",IF(OR($E51="nie",$B$3&lt;=$D51),0,INT(DATEDIF($D51,$B$3,"m")/$B$5)))</f>
        <v/>
      </c>
      <c r="I51" s="13" t="str">
        <f aca="false">IF($H51="","",IF($E51="nie",0,MAX(0,$B$3-EDATE($D51,$H51*$B$5))))</f>
        <v/>
      </c>
      <c r="J51" s="14" t="str">
        <f aca="false">IF($H51="","",$C51*(1+$B$6)^$H51)</f>
        <v/>
      </c>
      <c r="K51" s="14" t="str">
        <f aca="false">IF($H51="","",IF($E51="nie",0,$J51*(1+$B$4*$I51/365)-$C51))</f>
        <v/>
      </c>
      <c r="L51" s="15" t="str">
        <f aca="false">IF($H51="","",$C51+$K51)</f>
        <v/>
      </c>
      <c r="M51" s="10"/>
    </row>
    <row r="52" customFormat="false" ht="15" hidden="false" customHeight="false" outlineLevel="0" collapsed="false">
      <c r="A52" s="10"/>
      <c r="B52" s="10"/>
      <c r="C52" s="11"/>
      <c r="D52" s="12"/>
      <c r="E52" s="10"/>
      <c r="F52" s="10"/>
      <c r="G52" s="13" t="str">
        <f aca="false">IF(OR($A52="",$D52="",$C52=""),"",MAX(0,$B$3-$D52))</f>
        <v/>
      </c>
      <c r="H52" s="13" t="str">
        <f aca="false">IF($G52="","",IF(OR($E52="nie",$B$3&lt;=$D52),0,INT(DATEDIF($D52,$B$3,"m")/$B$5)))</f>
        <v/>
      </c>
      <c r="I52" s="13" t="str">
        <f aca="false">IF($H52="","",IF($E52="nie",0,MAX(0,$B$3-EDATE($D52,$H52*$B$5))))</f>
        <v/>
      </c>
      <c r="J52" s="14" t="str">
        <f aca="false">IF($H52="","",$C52*(1+$B$6)^$H52)</f>
        <v/>
      </c>
      <c r="K52" s="14" t="str">
        <f aca="false">IF($H52="","",IF($E52="nie",0,$J52*(1+$B$4*$I52/365)-$C52))</f>
        <v/>
      </c>
      <c r="L52" s="15" t="str">
        <f aca="false">IF($H52="","",$C52+$K52)</f>
        <v/>
      </c>
      <c r="M52" s="10"/>
    </row>
    <row r="53" customFormat="false" ht="15" hidden="false" customHeight="false" outlineLevel="0" collapsed="false">
      <c r="A53" s="10"/>
      <c r="B53" s="10"/>
      <c r="C53" s="11"/>
      <c r="D53" s="12"/>
      <c r="E53" s="10"/>
      <c r="F53" s="10"/>
      <c r="G53" s="13" t="str">
        <f aca="false">IF(OR($A53="",$D53="",$C53=""),"",MAX(0,$B$3-$D53))</f>
        <v/>
      </c>
      <c r="H53" s="13" t="str">
        <f aca="false">IF($G53="","",IF(OR($E53="nie",$B$3&lt;=$D53),0,INT(DATEDIF($D53,$B$3,"m")/$B$5)))</f>
        <v/>
      </c>
      <c r="I53" s="13" t="str">
        <f aca="false">IF($H53="","",IF($E53="nie",0,MAX(0,$B$3-EDATE($D53,$H53*$B$5))))</f>
        <v/>
      </c>
      <c r="J53" s="14" t="str">
        <f aca="false">IF($H53="","",$C53*(1+$B$6)^$H53)</f>
        <v/>
      </c>
      <c r="K53" s="14" t="str">
        <f aca="false">IF($H53="","",IF($E53="nie",0,$J53*(1+$B$4*$I53/365)-$C53))</f>
        <v/>
      </c>
      <c r="L53" s="15" t="str">
        <f aca="false">IF($H53="","",$C53+$K53)</f>
        <v/>
      </c>
      <c r="M53" s="10"/>
    </row>
    <row r="54" customFormat="false" ht="15" hidden="false" customHeight="false" outlineLevel="0" collapsed="false">
      <c r="A54" s="10"/>
      <c r="B54" s="10"/>
      <c r="C54" s="11"/>
      <c r="D54" s="12"/>
      <c r="E54" s="10"/>
      <c r="F54" s="10"/>
      <c r="G54" s="13" t="str">
        <f aca="false">IF(OR($A54="",$D54="",$C54=""),"",MAX(0,$B$3-$D54))</f>
        <v/>
      </c>
      <c r="H54" s="13" t="str">
        <f aca="false">IF($G54="","",IF(OR($E54="nie",$B$3&lt;=$D54),0,INT(DATEDIF($D54,$B$3,"m")/$B$5)))</f>
        <v/>
      </c>
      <c r="I54" s="13" t="str">
        <f aca="false">IF($H54="","",IF($E54="nie",0,MAX(0,$B$3-EDATE($D54,$H54*$B$5))))</f>
        <v/>
      </c>
      <c r="J54" s="14" t="str">
        <f aca="false">IF($H54="","",$C54*(1+$B$6)^$H54)</f>
        <v/>
      </c>
      <c r="K54" s="14" t="str">
        <f aca="false">IF($H54="","",IF($E54="nie",0,$J54*(1+$B$4*$I54/365)-$C54))</f>
        <v/>
      </c>
      <c r="L54" s="15" t="str">
        <f aca="false">IF($H54="","",$C54+$K54)</f>
        <v/>
      </c>
      <c r="M54" s="10"/>
    </row>
    <row r="55" customFormat="false" ht="15" hidden="false" customHeight="false" outlineLevel="0" collapsed="false">
      <c r="A55" s="10"/>
      <c r="B55" s="10"/>
      <c r="C55" s="11"/>
      <c r="D55" s="12"/>
      <c r="E55" s="10"/>
      <c r="F55" s="10"/>
      <c r="G55" s="13" t="str">
        <f aca="false">IF(OR($A55="",$D55="",$C55=""),"",MAX(0,$B$3-$D55))</f>
        <v/>
      </c>
      <c r="H55" s="13" t="str">
        <f aca="false">IF($G55="","",IF(OR($E55="nie",$B$3&lt;=$D55),0,INT(DATEDIF($D55,$B$3,"m")/$B$5)))</f>
        <v/>
      </c>
      <c r="I55" s="13" t="str">
        <f aca="false">IF($H55="","",IF($E55="nie",0,MAX(0,$B$3-EDATE($D55,$H55*$B$5))))</f>
        <v/>
      </c>
      <c r="J55" s="14" t="str">
        <f aca="false">IF($H55="","",$C55*(1+$B$6)^$H55)</f>
        <v/>
      </c>
      <c r="K55" s="14" t="str">
        <f aca="false">IF($H55="","",IF($E55="nie",0,$J55*(1+$B$4*$I55/365)-$C55))</f>
        <v/>
      </c>
      <c r="L55" s="15" t="str">
        <f aca="false">IF($H55="","",$C55+$K55)</f>
        <v/>
      </c>
      <c r="M55" s="10"/>
    </row>
    <row r="56" customFormat="false" ht="15" hidden="false" customHeight="false" outlineLevel="0" collapsed="false">
      <c r="A56" s="10"/>
      <c r="B56" s="10"/>
      <c r="C56" s="11"/>
      <c r="D56" s="12"/>
      <c r="E56" s="10"/>
      <c r="F56" s="10"/>
      <c r="G56" s="13" t="str">
        <f aca="false">IF(OR($A56="",$D56="",$C56=""),"",MAX(0,$B$3-$D56))</f>
        <v/>
      </c>
      <c r="H56" s="13" t="str">
        <f aca="false">IF($G56="","",IF(OR($E56="nie",$B$3&lt;=$D56),0,INT(DATEDIF($D56,$B$3,"m")/$B$5)))</f>
        <v/>
      </c>
      <c r="I56" s="13" t="str">
        <f aca="false">IF($H56="","",IF($E56="nie",0,MAX(0,$B$3-EDATE($D56,$H56*$B$5))))</f>
        <v/>
      </c>
      <c r="J56" s="14" t="str">
        <f aca="false">IF($H56="","",$C56*(1+$B$6)^$H56)</f>
        <v/>
      </c>
      <c r="K56" s="14" t="str">
        <f aca="false">IF($H56="","",IF($E56="nie",0,$J56*(1+$B$4*$I56/365)-$C56))</f>
        <v/>
      </c>
      <c r="L56" s="15" t="str">
        <f aca="false">IF($H56="","",$C56+$K56)</f>
        <v/>
      </c>
      <c r="M56" s="10"/>
    </row>
    <row r="57" customFormat="false" ht="15" hidden="false" customHeight="false" outlineLevel="0" collapsed="false">
      <c r="A57" s="10"/>
      <c r="B57" s="10"/>
      <c r="C57" s="11"/>
      <c r="D57" s="12"/>
      <c r="E57" s="10"/>
      <c r="F57" s="10"/>
      <c r="G57" s="13" t="str">
        <f aca="false">IF(OR($A57="",$D57="",$C57=""),"",MAX(0,$B$3-$D57))</f>
        <v/>
      </c>
      <c r="H57" s="13" t="str">
        <f aca="false">IF($G57="","",IF(OR($E57="nie",$B$3&lt;=$D57),0,INT(DATEDIF($D57,$B$3,"m")/$B$5)))</f>
        <v/>
      </c>
      <c r="I57" s="13" t="str">
        <f aca="false">IF($H57="","",IF($E57="nie",0,MAX(0,$B$3-EDATE($D57,$H57*$B$5))))</f>
        <v/>
      </c>
      <c r="J57" s="14" t="str">
        <f aca="false">IF($H57="","",$C57*(1+$B$6)^$H57)</f>
        <v/>
      </c>
      <c r="K57" s="14" t="str">
        <f aca="false">IF($H57="","",IF($E57="nie",0,$J57*(1+$B$4*$I57/365)-$C57))</f>
        <v/>
      </c>
      <c r="L57" s="15" t="str">
        <f aca="false">IF($H57="","",$C57+$K57)</f>
        <v/>
      </c>
      <c r="M57" s="10"/>
    </row>
    <row r="58" customFormat="false" ht="15" hidden="false" customHeight="false" outlineLevel="0" collapsed="false">
      <c r="A58" s="10"/>
      <c r="B58" s="10"/>
      <c r="C58" s="11"/>
      <c r="D58" s="12"/>
      <c r="E58" s="10"/>
      <c r="F58" s="10"/>
      <c r="G58" s="13" t="str">
        <f aca="false">IF(OR($A58="",$D58="",$C58=""),"",MAX(0,$B$3-$D58))</f>
        <v/>
      </c>
      <c r="H58" s="13" t="str">
        <f aca="false">IF($G58="","",IF(OR($E58="nie",$B$3&lt;=$D58),0,INT(DATEDIF($D58,$B$3,"m")/$B$5)))</f>
        <v/>
      </c>
      <c r="I58" s="13" t="str">
        <f aca="false">IF($H58="","",IF($E58="nie",0,MAX(0,$B$3-EDATE($D58,$H58*$B$5))))</f>
        <v/>
      </c>
      <c r="J58" s="14" t="str">
        <f aca="false">IF($H58="","",$C58*(1+$B$6)^$H58)</f>
        <v/>
      </c>
      <c r="K58" s="14" t="str">
        <f aca="false">IF($H58="","",IF($E58="nie",0,$J58*(1+$B$4*$I58/365)-$C58))</f>
        <v/>
      </c>
      <c r="L58" s="15" t="str">
        <f aca="false">IF($H58="","",$C58+$K58)</f>
        <v/>
      </c>
      <c r="M58" s="10"/>
    </row>
    <row r="59" customFormat="false" ht="15" hidden="false" customHeight="false" outlineLevel="0" collapsed="false">
      <c r="A59" s="10"/>
      <c r="B59" s="10"/>
      <c r="C59" s="11"/>
      <c r="D59" s="12"/>
      <c r="E59" s="10"/>
      <c r="F59" s="10"/>
      <c r="G59" s="13" t="str">
        <f aca="false">IF(OR($A59="",$D59="",$C59=""),"",MAX(0,$B$3-$D59))</f>
        <v/>
      </c>
      <c r="H59" s="13" t="str">
        <f aca="false">IF($G59="","",IF(OR($E59="nie",$B$3&lt;=$D59),0,INT(DATEDIF($D59,$B$3,"m")/$B$5)))</f>
        <v/>
      </c>
      <c r="I59" s="13" t="str">
        <f aca="false">IF($H59="","",IF($E59="nie",0,MAX(0,$B$3-EDATE($D59,$H59*$B$5))))</f>
        <v/>
      </c>
      <c r="J59" s="14" t="str">
        <f aca="false">IF($H59="","",$C59*(1+$B$6)^$H59)</f>
        <v/>
      </c>
      <c r="K59" s="14" t="str">
        <f aca="false">IF($H59="","",IF($E59="nie",0,$J59*(1+$B$4*$I59/365)-$C59))</f>
        <v/>
      </c>
      <c r="L59" s="15" t="str">
        <f aca="false">IF($H59="","",$C59+$K59)</f>
        <v/>
      </c>
      <c r="M59" s="10"/>
    </row>
    <row r="60" customFormat="false" ht="15" hidden="false" customHeight="false" outlineLevel="0" collapsed="false">
      <c r="A60" s="10"/>
      <c r="B60" s="10"/>
      <c r="C60" s="11"/>
      <c r="D60" s="12"/>
      <c r="E60" s="10"/>
      <c r="F60" s="10"/>
      <c r="G60" s="13" t="str">
        <f aca="false">IF(OR($A60="",$D60="",$C60=""),"",MAX(0,$B$3-$D60))</f>
        <v/>
      </c>
      <c r="H60" s="13" t="str">
        <f aca="false">IF($G60="","",IF(OR($E60="nie",$B$3&lt;=$D60),0,INT(DATEDIF($D60,$B$3,"m")/$B$5)))</f>
        <v/>
      </c>
      <c r="I60" s="13" t="str">
        <f aca="false">IF($H60="","",IF($E60="nie",0,MAX(0,$B$3-EDATE($D60,$H60*$B$5))))</f>
        <v/>
      </c>
      <c r="J60" s="14" t="str">
        <f aca="false">IF($H60="","",$C60*(1+$B$6)^$H60)</f>
        <v/>
      </c>
      <c r="K60" s="14" t="str">
        <f aca="false">IF($H60="","",IF($E60="nie",0,$J60*(1+$B$4*$I60/365)-$C60))</f>
        <v/>
      </c>
      <c r="L60" s="15" t="str">
        <f aca="false">IF($H60="","",$C60+$K60)</f>
        <v/>
      </c>
      <c r="M60" s="10"/>
    </row>
    <row r="62" customFormat="false" ht="15" hidden="false" customHeight="false" outlineLevel="0" collapsed="false">
      <c r="A62" s="16" t="s">
        <v>50</v>
      </c>
      <c r="B62" s="16"/>
      <c r="C62" s="17" t="n">
        <f aca="false">SUMIF($F$11:$F$60,"otvorené",C11:C60)</f>
        <v>258338.38</v>
      </c>
      <c r="D62" s="16"/>
      <c r="E62" s="16"/>
      <c r="F62" s="16" t="s">
        <v>51</v>
      </c>
      <c r="G62" s="18" t="n">
        <f aca="false">COUNTIFS($F$11:$F$60,"otvorené",$C$11:$C$60,"&lt;&gt;")</f>
        <v>12</v>
      </c>
      <c r="H62" s="16"/>
      <c r="I62" s="16"/>
      <c r="J62" s="16"/>
      <c r="K62" s="17" t="n">
        <f aca="false">SUMIF($F$11:$F$60,"otvorené",K11:K60)</f>
        <v>50396.4575394988</v>
      </c>
      <c r="L62" s="17" t="n">
        <f aca="false">SUMIF($F$11:$F$60,"otvorené",L11:L60)</f>
        <v>308734.837539499</v>
      </c>
      <c r="M62" s="16"/>
    </row>
    <row r="64" customFormat="false" ht="15" hidden="false" customHeight="false" outlineLevel="0" collapsed="false">
      <c r="A64" s="2" t="s">
        <v>52</v>
      </c>
      <c r="M64" s="4" t="s">
        <v>53</v>
      </c>
    </row>
    <row r="65" customFormat="false" ht="15" hidden="false" customHeight="false" outlineLevel="0" collapsed="false">
      <c r="A65" s="19" t="s">
        <v>11</v>
      </c>
      <c r="B65" s="19"/>
      <c r="C65" s="19" t="s">
        <v>13</v>
      </c>
      <c r="D65" s="19"/>
      <c r="E65" s="19"/>
      <c r="F65" s="19"/>
      <c r="G65" s="19"/>
      <c r="H65" s="19"/>
      <c r="I65" s="19"/>
      <c r="J65" s="19"/>
      <c r="K65" s="19" t="s">
        <v>21</v>
      </c>
      <c r="L65" s="19" t="s">
        <v>22</v>
      </c>
    </row>
    <row r="66" customFormat="false" ht="15" hidden="false" customHeight="false" outlineLevel="0" collapsed="false">
      <c r="A66" s="10" t="s">
        <v>24</v>
      </c>
      <c r="B66" s="20"/>
      <c r="C66" s="14" t="n">
        <f aca="false">SUMIFS(C$11:C$60,$A$11:$A$60,$A66,$F$11:$F$60,"otvorené")</f>
        <v>105431.38</v>
      </c>
      <c r="D66" s="20"/>
      <c r="E66" s="20"/>
      <c r="F66" s="20"/>
      <c r="G66" s="20"/>
      <c r="H66" s="20"/>
      <c r="I66" s="20"/>
      <c r="J66" s="20"/>
      <c r="K66" s="14" t="n">
        <f aca="false">SUMIFS(K$11:K$60,$A$11:$A$60,$A66,$F$11:$F$60,"otvorené")</f>
        <v>19878.0592847119</v>
      </c>
      <c r="L66" s="15" t="n">
        <f aca="false">SUMIFS(L$11:L$60,$A$11:$A$60,$A66,$F$11:$F$60,"otvorené")</f>
        <v>125309.439284712</v>
      </c>
    </row>
    <row r="67" customFormat="false" ht="15" hidden="false" customHeight="false" outlineLevel="0" collapsed="false">
      <c r="A67" s="10" t="s">
        <v>37</v>
      </c>
      <c r="B67" s="20"/>
      <c r="C67" s="14" t="n">
        <f aca="false">SUMIFS(C$11:C$60,$A$11:$A$60,$A67,$F$11:$F$60,"otvorené")</f>
        <v>152907</v>
      </c>
      <c r="D67" s="20"/>
      <c r="E67" s="20"/>
      <c r="F67" s="20"/>
      <c r="G67" s="20"/>
      <c r="H67" s="20"/>
      <c r="I67" s="20"/>
      <c r="J67" s="20"/>
      <c r="K67" s="14" t="n">
        <f aca="false">SUMIFS(K$11:K$60,$A$11:$A$60,$A67,$F$11:$F$60,"otvorené")</f>
        <v>30518.3982547869</v>
      </c>
      <c r="L67" s="15" t="n">
        <f aca="false">SUMIFS(L$11:L$60,$A$11:$A$60,$A67,$F$11:$F$60,"otvorené")</f>
        <v>183425.398254787</v>
      </c>
    </row>
    <row r="68" customFormat="false" ht="15" hidden="false" customHeight="false" outlineLevel="0" collapsed="false">
      <c r="A68" s="10" t="s">
        <v>45</v>
      </c>
      <c r="B68" s="20"/>
      <c r="C68" s="14" t="n">
        <f aca="false">SUMIFS(C$11:C$60,$A$11:$A$60,$A68,$F$11:$F$60,"otvorené")</f>
        <v>0</v>
      </c>
      <c r="D68" s="20"/>
      <c r="E68" s="20"/>
      <c r="F68" s="20"/>
      <c r="G68" s="20"/>
      <c r="H68" s="20"/>
      <c r="I68" s="20"/>
      <c r="J68" s="20"/>
      <c r="K68" s="14" t="n">
        <f aca="false">SUMIFS(K$11:K$60,$A$11:$A$60,$A68,$F$11:$F$60,"otvorené")</f>
        <v>0</v>
      </c>
      <c r="L68" s="15" t="n">
        <f aca="false">SUMIFS(L$11:L$60,$A$11:$A$60,$A68,$F$11:$F$60,"otvorené")</f>
        <v>0</v>
      </c>
    </row>
    <row r="69" customFormat="false" ht="15" hidden="false" customHeight="false" outlineLevel="0" collapsed="false">
      <c r="A69" s="10" t="s">
        <v>48</v>
      </c>
      <c r="B69" s="20"/>
      <c r="C69" s="14" t="n">
        <f aca="false">SUMIFS(C$11:C$60,$A$11:$A$60,$A69,$F$11:$F$60,"otvorené")</f>
        <v>0</v>
      </c>
      <c r="D69" s="20"/>
      <c r="E69" s="20"/>
      <c r="F69" s="20"/>
      <c r="G69" s="20"/>
      <c r="H69" s="20"/>
      <c r="I69" s="20"/>
      <c r="J69" s="20"/>
      <c r="K69" s="14" t="n">
        <f aca="false">SUMIFS(K$11:K$60,$A$11:$A$60,$A69,$F$11:$F$60,"otvorené")</f>
        <v>0</v>
      </c>
      <c r="L69" s="15" t="n">
        <f aca="false">SUMIFS(L$11:L$60,$A$11:$A$60,$A69,$F$11:$F$60,"otvorené")</f>
        <v>0</v>
      </c>
    </row>
  </sheetData>
  <dataValidations count="2">
    <dataValidation allowBlank="true" errorStyle="stop" operator="between" showDropDown="false" showErrorMessage="false" showInputMessage="false" sqref="E11:E60" type="list">
      <formula1>"áno,nie"</formula1>
      <formula2>0</formula2>
    </dataValidation>
    <dataValidation allowBlank="true" errorStyle="stop" operator="between" showDropDown="false" showErrorMessage="false" showInputMessage="false" sqref="F11:F60" type="list">
      <formula1>"otvorené,uhradené"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2" t="s">
        <v>55</v>
      </c>
      <c r="B3" s="10" t="s">
        <v>24</v>
      </c>
      <c r="C3" s="4" t="s">
        <v>56</v>
      </c>
    </row>
    <row r="4" customFormat="false" ht="15" hidden="false" customHeight="false" outlineLevel="0" collapsed="false">
      <c r="A4" s="2" t="s">
        <v>13</v>
      </c>
      <c r="B4" s="21" t="n">
        <f aca="false">INDEX('Súpis dlhov'!$C$11:$C$60,MATCH($B$3,'Súpis dlhov'!$A$11:$A$60,0))</f>
        <v>50000</v>
      </c>
    </row>
    <row r="5" customFormat="false" ht="15" hidden="false" customHeight="false" outlineLevel="0" collapsed="false">
      <c r="A5" s="2" t="s">
        <v>57</v>
      </c>
      <c r="B5" s="22" t="n">
        <f aca="false">INDEX('Súpis dlhov'!$D$11:$D$60,MATCH($B$3,'Súpis dlhov'!$A$11:$A$60,0))</f>
        <v>45471</v>
      </c>
    </row>
    <row r="6" customFormat="false" ht="15" hidden="false" customHeight="false" outlineLevel="0" collapsed="false">
      <c r="A6" s="2" t="s">
        <v>58</v>
      </c>
      <c r="B6" s="22" t="n">
        <f aca="false">'Súpis dlhov'!$B$3</f>
        <v>46306</v>
      </c>
    </row>
    <row r="7" customFormat="false" ht="15" hidden="false" customHeight="false" outlineLevel="0" collapsed="false">
      <c r="A7" s="2" t="s">
        <v>59</v>
      </c>
      <c r="B7" s="23" t="n">
        <f aca="false">INDEX('Súpis dlhov'!$H$11:$H$60,MATCH($B$3,'Súpis dlhov'!$A$11:$A$60,0))</f>
        <v>9</v>
      </c>
    </row>
    <row r="8" customFormat="false" ht="15" hidden="false" customHeight="false" outlineLevel="0" collapsed="false">
      <c r="A8" s="2" t="s">
        <v>60</v>
      </c>
      <c r="B8" s="24" t="n">
        <f aca="false">IF($B$9="nie",0,'Súpis dlhov'!$B$6)</f>
        <v>0.025</v>
      </c>
    </row>
    <row r="9" customFormat="false" ht="15" hidden="false" customHeight="false" outlineLevel="0" collapsed="false">
      <c r="A9" s="2" t="s">
        <v>61</v>
      </c>
      <c r="B9" s="25" t="str">
        <f aca="false">INDEX('Súpis dlhov'!$E$11:$E$60,MATCH($B$3,'Súpis dlhov'!$A$11:$A$60,0))</f>
        <v>áno</v>
      </c>
    </row>
    <row r="11" customFormat="false" ht="42" hidden="false" customHeight="true" outlineLevel="0" collapsed="false">
      <c r="A11" s="9" t="s">
        <v>62</v>
      </c>
      <c r="B11" s="9" t="s">
        <v>63</v>
      </c>
      <c r="C11" s="9" t="s">
        <v>64</v>
      </c>
      <c r="D11" s="9" t="s">
        <v>65</v>
      </c>
      <c r="E11" s="9" t="s">
        <v>66</v>
      </c>
      <c r="F11" s="9" t="s">
        <v>67</v>
      </c>
    </row>
    <row r="12" customFormat="false" ht="15" hidden="false" customHeight="false" outlineLevel="0" collapsed="false">
      <c r="A12" s="13" t="n">
        <f aca="false">IF(1&lt;=$B$7,1,"")</f>
        <v>1</v>
      </c>
      <c r="B12" s="26" t="n">
        <f aca="false">IF($A12="","",EDATE($B$5,($A12-1)*'Súpis dlhov'!$B$5))</f>
        <v>45471</v>
      </c>
      <c r="C12" s="26" t="n">
        <f aca="false">IF($A12="","",EDATE($B$5,$A12*'Súpis dlhov'!$B$5))</f>
        <v>45563</v>
      </c>
      <c r="D12" s="14" t="n">
        <f aca="false">IF($A12="","",$B$4)</f>
        <v>50000</v>
      </c>
      <c r="E12" s="14" t="n">
        <f aca="false">IF($A12="","",$D12*$B$8)</f>
        <v>1250</v>
      </c>
      <c r="F12" s="14" t="n">
        <f aca="false">IF($A12="","",$D12+$E12)</f>
        <v>51250</v>
      </c>
    </row>
    <row r="13" customFormat="false" ht="15" hidden="false" customHeight="false" outlineLevel="0" collapsed="false">
      <c r="A13" s="13" t="n">
        <f aca="false">IF(2&lt;=$B$7,2,"")</f>
        <v>2</v>
      </c>
      <c r="B13" s="26" t="n">
        <f aca="false">IF($A13="","",EDATE($B$5,($A13-1)*'Súpis dlhov'!$B$5))</f>
        <v>45563</v>
      </c>
      <c r="C13" s="26" t="n">
        <f aca="false">IF($A13="","",EDATE($B$5,$A13*'Súpis dlhov'!$B$5))</f>
        <v>45654</v>
      </c>
      <c r="D13" s="14" t="n">
        <f aca="false">IF($A13="","",$F12)</f>
        <v>51250</v>
      </c>
      <c r="E13" s="14" t="n">
        <f aca="false">IF($A13="","",$D13*$B$8)</f>
        <v>1281.25</v>
      </c>
      <c r="F13" s="14" t="n">
        <f aca="false">IF($A13="","",$D13+$E13)</f>
        <v>52531.25</v>
      </c>
    </row>
    <row r="14" customFormat="false" ht="15" hidden="false" customHeight="false" outlineLevel="0" collapsed="false">
      <c r="A14" s="13" t="n">
        <f aca="false">IF(3&lt;=$B$7,3,"")</f>
        <v>3</v>
      </c>
      <c r="B14" s="26" t="n">
        <f aca="false">IF($A14="","",EDATE($B$5,($A14-1)*'Súpis dlhov'!$B$5))</f>
        <v>45654</v>
      </c>
      <c r="C14" s="26" t="n">
        <f aca="false">IF($A14="","",EDATE($B$5,$A14*'Súpis dlhov'!$B$5))</f>
        <v>45744</v>
      </c>
      <c r="D14" s="14" t="n">
        <f aca="false">IF($A14="","",$F13)</f>
        <v>52531.25</v>
      </c>
      <c r="E14" s="14" t="n">
        <f aca="false">IF($A14="","",$D14*$B$8)</f>
        <v>1313.28125</v>
      </c>
      <c r="F14" s="14" t="n">
        <f aca="false">IF($A14="","",$D14+$E14)</f>
        <v>53844.53125</v>
      </c>
    </row>
    <row r="15" customFormat="false" ht="15" hidden="false" customHeight="false" outlineLevel="0" collapsed="false">
      <c r="A15" s="13" t="n">
        <f aca="false">IF(4&lt;=$B$7,4,"")</f>
        <v>4</v>
      </c>
      <c r="B15" s="26" t="n">
        <f aca="false">IF($A15="","",EDATE($B$5,($A15-1)*'Súpis dlhov'!$B$5))</f>
        <v>45744</v>
      </c>
      <c r="C15" s="26" t="n">
        <f aca="false">IF($A15="","",EDATE($B$5,$A15*'Súpis dlhov'!$B$5))</f>
        <v>45836</v>
      </c>
      <c r="D15" s="14" t="n">
        <f aca="false">IF($A15="","",$F14)</f>
        <v>53844.53125</v>
      </c>
      <c r="E15" s="14" t="n">
        <f aca="false">IF($A15="","",$D15*$B$8)</f>
        <v>1346.11328125</v>
      </c>
      <c r="F15" s="14" t="n">
        <f aca="false">IF($A15="","",$D15+$E15)</f>
        <v>55190.64453125</v>
      </c>
    </row>
    <row r="16" customFormat="false" ht="15" hidden="false" customHeight="false" outlineLevel="0" collapsed="false">
      <c r="A16" s="13" t="n">
        <f aca="false">IF(5&lt;=$B$7,5,"")</f>
        <v>5</v>
      </c>
      <c r="B16" s="26" t="n">
        <f aca="false">IF($A16="","",EDATE($B$5,($A16-1)*'Súpis dlhov'!$B$5))</f>
        <v>45836</v>
      </c>
      <c r="C16" s="26" t="n">
        <f aca="false">IF($A16="","",EDATE($B$5,$A16*'Súpis dlhov'!$B$5))</f>
        <v>45928</v>
      </c>
      <c r="D16" s="14" t="n">
        <f aca="false">IF($A16="","",$F15)</f>
        <v>55190.64453125</v>
      </c>
      <c r="E16" s="14" t="n">
        <f aca="false">IF($A16="","",$D16*$B$8)</f>
        <v>1379.76611328125</v>
      </c>
      <c r="F16" s="14" t="n">
        <f aca="false">IF($A16="","",$D16+$E16)</f>
        <v>56570.4106445313</v>
      </c>
    </row>
    <row r="17" customFormat="false" ht="15" hidden="false" customHeight="false" outlineLevel="0" collapsed="false">
      <c r="A17" s="13" t="n">
        <f aca="false">IF(6&lt;=$B$7,6,"")</f>
        <v>6</v>
      </c>
      <c r="B17" s="26" t="n">
        <f aca="false">IF($A17="","",EDATE($B$5,($A17-1)*'Súpis dlhov'!$B$5))</f>
        <v>45928</v>
      </c>
      <c r="C17" s="26" t="n">
        <f aca="false">IF($A17="","",EDATE($B$5,$A17*'Súpis dlhov'!$B$5))</f>
        <v>46019</v>
      </c>
      <c r="D17" s="14" t="n">
        <f aca="false">IF($A17="","",$F16)</f>
        <v>56570.4106445313</v>
      </c>
      <c r="E17" s="14" t="n">
        <f aca="false">IF($A17="","",$D17*$B$8)</f>
        <v>1414.26026611328</v>
      </c>
      <c r="F17" s="14" t="n">
        <f aca="false">IF($A17="","",$D17+$E17)</f>
        <v>57984.6709106445</v>
      </c>
    </row>
    <row r="18" customFormat="false" ht="15" hidden="false" customHeight="false" outlineLevel="0" collapsed="false">
      <c r="A18" s="13" t="n">
        <f aca="false">IF(7&lt;=$B$7,7,"")</f>
        <v>7</v>
      </c>
      <c r="B18" s="26" t="n">
        <f aca="false">IF($A18="","",EDATE($B$5,($A18-1)*'Súpis dlhov'!$B$5))</f>
        <v>46019</v>
      </c>
      <c r="C18" s="26" t="n">
        <f aca="false">IF($A18="","",EDATE($B$5,$A18*'Súpis dlhov'!$B$5))</f>
        <v>46109</v>
      </c>
      <c r="D18" s="14" t="n">
        <f aca="false">IF($A18="","",$F17)</f>
        <v>57984.6709106445</v>
      </c>
      <c r="E18" s="14" t="n">
        <f aca="false">IF($A18="","",$D18*$B$8)</f>
        <v>1449.61677276611</v>
      </c>
      <c r="F18" s="14" t="n">
        <f aca="false">IF($A18="","",$D18+$E18)</f>
        <v>59434.2876834107</v>
      </c>
    </row>
    <row r="19" customFormat="false" ht="15" hidden="false" customHeight="false" outlineLevel="0" collapsed="false">
      <c r="A19" s="13" t="n">
        <f aca="false">IF(8&lt;=$B$7,8,"")</f>
        <v>8</v>
      </c>
      <c r="B19" s="26" t="n">
        <f aca="false">IF($A19="","",EDATE($B$5,($A19-1)*'Súpis dlhov'!$B$5))</f>
        <v>46109</v>
      </c>
      <c r="C19" s="26" t="n">
        <f aca="false">IF($A19="","",EDATE($B$5,$A19*'Súpis dlhov'!$B$5))</f>
        <v>46201</v>
      </c>
      <c r="D19" s="14" t="n">
        <f aca="false">IF($A19="","",$F18)</f>
        <v>59434.2876834107</v>
      </c>
      <c r="E19" s="14" t="n">
        <f aca="false">IF($A19="","",$D19*$B$8)</f>
        <v>1485.85719208527</v>
      </c>
      <c r="F19" s="14" t="n">
        <f aca="false">IF($A19="","",$D19+$E19)</f>
        <v>60920.1448754959</v>
      </c>
    </row>
    <row r="20" customFormat="false" ht="15" hidden="false" customHeight="false" outlineLevel="0" collapsed="false">
      <c r="A20" s="13" t="n">
        <f aca="false">IF(9&lt;=$B$7,9,"")</f>
        <v>9</v>
      </c>
      <c r="B20" s="26" t="n">
        <f aca="false">IF($A20="","",EDATE($B$5,($A20-1)*'Súpis dlhov'!$B$5))</f>
        <v>46201</v>
      </c>
      <c r="C20" s="26" t="n">
        <f aca="false">IF($A20="","",EDATE($B$5,$A20*'Súpis dlhov'!$B$5))</f>
        <v>46293</v>
      </c>
      <c r="D20" s="14" t="n">
        <f aca="false">IF($A20="","",$F19)</f>
        <v>60920.1448754959</v>
      </c>
      <c r="E20" s="14" t="n">
        <f aca="false">IF($A20="","",$D20*$B$8)</f>
        <v>1523.0036218874</v>
      </c>
      <c r="F20" s="14" t="n">
        <f aca="false">IF($A20="","",$D20+$E20)</f>
        <v>62443.1484973833</v>
      </c>
    </row>
    <row r="21" customFormat="false" ht="15" hidden="false" customHeight="false" outlineLevel="0" collapsed="false">
      <c r="A21" s="13" t="str">
        <f aca="false">IF(10&lt;=$B$7,10,"")</f>
        <v/>
      </c>
      <c r="B21" s="26" t="str">
        <f aca="false">IF($A21="","",EDATE($B$5,($A21-1)*'Súpis dlhov'!$B$5))</f>
        <v/>
      </c>
      <c r="C21" s="26" t="str">
        <f aca="false">IF($A21="","",EDATE($B$5,$A21*'Súpis dlhov'!$B$5))</f>
        <v/>
      </c>
      <c r="D21" s="14" t="str">
        <f aca="false">IF($A21="","",$F20)</f>
        <v/>
      </c>
      <c r="E21" s="14" t="str">
        <f aca="false">IF($A21="","",$D21*$B$8)</f>
        <v/>
      </c>
      <c r="F21" s="14" t="str">
        <f aca="false">IF($A21="","",$D21+$E21)</f>
        <v/>
      </c>
    </row>
    <row r="22" customFormat="false" ht="15" hidden="false" customHeight="false" outlineLevel="0" collapsed="false">
      <c r="A22" s="13" t="str">
        <f aca="false">IF(11&lt;=$B$7,11,"")</f>
        <v/>
      </c>
      <c r="B22" s="26" t="str">
        <f aca="false">IF($A22="","",EDATE($B$5,($A22-1)*'Súpis dlhov'!$B$5))</f>
        <v/>
      </c>
      <c r="C22" s="26" t="str">
        <f aca="false">IF($A22="","",EDATE($B$5,$A22*'Súpis dlhov'!$B$5))</f>
        <v/>
      </c>
      <c r="D22" s="14" t="str">
        <f aca="false">IF($A22="","",$F21)</f>
        <v/>
      </c>
      <c r="E22" s="14" t="str">
        <f aca="false">IF($A22="","",$D22*$B$8)</f>
        <v/>
      </c>
      <c r="F22" s="14" t="str">
        <f aca="false">IF($A22="","",$D22+$E22)</f>
        <v/>
      </c>
    </row>
    <row r="23" customFormat="false" ht="15" hidden="false" customHeight="false" outlineLevel="0" collapsed="false">
      <c r="A23" s="13" t="str">
        <f aca="false">IF(12&lt;=$B$7,12,"")</f>
        <v/>
      </c>
      <c r="B23" s="26" t="str">
        <f aca="false">IF($A23="","",EDATE($B$5,($A23-1)*'Súpis dlhov'!$B$5))</f>
        <v/>
      </c>
      <c r="C23" s="26" t="str">
        <f aca="false">IF($A23="","",EDATE($B$5,$A23*'Súpis dlhov'!$B$5))</f>
        <v/>
      </c>
      <c r="D23" s="14" t="str">
        <f aca="false">IF($A23="","",$F22)</f>
        <v/>
      </c>
      <c r="E23" s="14" t="str">
        <f aca="false">IF($A23="","",$D23*$B$8)</f>
        <v/>
      </c>
      <c r="F23" s="14" t="str">
        <f aca="false">IF($A23="","",$D23+$E23)</f>
        <v/>
      </c>
    </row>
    <row r="24" customFormat="false" ht="15" hidden="false" customHeight="false" outlineLevel="0" collapsed="false">
      <c r="A24" s="13" t="str">
        <f aca="false">IF(13&lt;=$B$7,13,"")</f>
        <v/>
      </c>
      <c r="B24" s="26" t="str">
        <f aca="false">IF($A24="","",EDATE($B$5,($A24-1)*'Súpis dlhov'!$B$5))</f>
        <v/>
      </c>
      <c r="C24" s="26" t="str">
        <f aca="false">IF($A24="","",EDATE($B$5,$A24*'Súpis dlhov'!$B$5))</f>
        <v/>
      </c>
      <c r="D24" s="14" t="str">
        <f aca="false">IF($A24="","",$F23)</f>
        <v/>
      </c>
      <c r="E24" s="14" t="str">
        <f aca="false">IF($A24="","",$D24*$B$8)</f>
        <v/>
      </c>
      <c r="F24" s="14" t="str">
        <f aca="false">IF($A24="","",$D24+$E24)</f>
        <v/>
      </c>
    </row>
    <row r="25" customFormat="false" ht="15" hidden="false" customHeight="false" outlineLevel="0" collapsed="false">
      <c r="A25" s="13" t="str">
        <f aca="false">IF(14&lt;=$B$7,14,"")</f>
        <v/>
      </c>
      <c r="B25" s="26" t="str">
        <f aca="false">IF($A25="","",EDATE($B$5,($A25-1)*'Súpis dlhov'!$B$5))</f>
        <v/>
      </c>
      <c r="C25" s="26" t="str">
        <f aca="false">IF($A25="","",EDATE($B$5,$A25*'Súpis dlhov'!$B$5))</f>
        <v/>
      </c>
      <c r="D25" s="14" t="str">
        <f aca="false">IF($A25="","",$F24)</f>
        <v/>
      </c>
      <c r="E25" s="14" t="str">
        <f aca="false">IF($A25="","",$D25*$B$8)</f>
        <v/>
      </c>
      <c r="F25" s="14" t="str">
        <f aca="false">IF($A25="","",$D25+$E25)</f>
        <v/>
      </c>
    </row>
    <row r="26" customFormat="false" ht="15" hidden="false" customHeight="false" outlineLevel="0" collapsed="false">
      <c r="A26" s="13" t="str">
        <f aca="false">IF(15&lt;=$B$7,15,"")</f>
        <v/>
      </c>
      <c r="B26" s="26" t="str">
        <f aca="false">IF($A26="","",EDATE($B$5,($A26-1)*'Súpis dlhov'!$B$5))</f>
        <v/>
      </c>
      <c r="C26" s="26" t="str">
        <f aca="false">IF($A26="","",EDATE($B$5,$A26*'Súpis dlhov'!$B$5))</f>
        <v/>
      </c>
      <c r="D26" s="14" t="str">
        <f aca="false">IF($A26="","",$F25)</f>
        <v/>
      </c>
      <c r="E26" s="14" t="str">
        <f aca="false">IF($A26="","",$D26*$B$8)</f>
        <v/>
      </c>
      <c r="F26" s="14" t="str">
        <f aca="false">IF($A26="","",$D26+$E26)</f>
        <v/>
      </c>
    </row>
    <row r="27" customFormat="false" ht="15" hidden="false" customHeight="false" outlineLevel="0" collapsed="false">
      <c r="A27" s="13" t="str">
        <f aca="false">IF(16&lt;=$B$7,16,"")</f>
        <v/>
      </c>
      <c r="B27" s="26" t="str">
        <f aca="false">IF($A27="","",EDATE($B$5,($A27-1)*'Súpis dlhov'!$B$5))</f>
        <v/>
      </c>
      <c r="C27" s="26" t="str">
        <f aca="false">IF($A27="","",EDATE($B$5,$A27*'Súpis dlhov'!$B$5))</f>
        <v/>
      </c>
      <c r="D27" s="14" t="str">
        <f aca="false">IF($A27="","",$F26)</f>
        <v/>
      </c>
      <c r="E27" s="14" t="str">
        <f aca="false">IF($A27="","",$D27*$B$8)</f>
        <v/>
      </c>
      <c r="F27" s="14" t="str">
        <f aca="false">IF($A27="","",$D27+$E27)</f>
        <v/>
      </c>
    </row>
    <row r="28" customFormat="false" ht="15" hidden="false" customHeight="false" outlineLevel="0" collapsed="false">
      <c r="A28" s="13" t="str">
        <f aca="false">IF(17&lt;=$B$7,17,"")</f>
        <v/>
      </c>
      <c r="B28" s="26" t="str">
        <f aca="false">IF($A28="","",EDATE($B$5,($A28-1)*'Súpis dlhov'!$B$5))</f>
        <v/>
      </c>
      <c r="C28" s="26" t="str">
        <f aca="false">IF($A28="","",EDATE($B$5,$A28*'Súpis dlhov'!$B$5))</f>
        <v/>
      </c>
      <c r="D28" s="14" t="str">
        <f aca="false">IF($A28="","",$F27)</f>
        <v/>
      </c>
      <c r="E28" s="14" t="str">
        <f aca="false">IF($A28="","",$D28*$B$8)</f>
        <v/>
      </c>
      <c r="F28" s="14" t="str">
        <f aca="false">IF($A28="","",$D28+$E28)</f>
        <v/>
      </c>
    </row>
    <row r="29" customFormat="false" ht="15" hidden="false" customHeight="false" outlineLevel="0" collapsed="false">
      <c r="A29" s="13" t="str">
        <f aca="false">IF(18&lt;=$B$7,18,"")</f>
        <v/>
      </c>
      <c r="B29" s="26" t="str">
        <f aca="false">IF($A29="","",EDATE($B$5,($A29-1)*'Súpis dlhov'!$B$5))</f>
        <v/>
      </c>
      <c r="C29" s="26" t="str">
        <f aca="false">IF($A29="","",EDATE($B$5,$A29*'Súpis dlhov'!$B$5))</f>
        <v/>
      </c>
      <c r="D29" s="14" t="str">
        <f aca="false">IF($A29="","",$F28)</f>
        <v/>
      </c>
      <c r="E29" s="14" t="str">
        <f aca="false">IF($A29="","",$D29*$B$8)</f>
        <v/>
      </c>
      <c r="F29" s="14" t="str">
        <f aca="false">IF($A29="","",$D29+$E29)</f>
        <v/>
      </c>
    </row>
    <row r="30" customFormat="false" ht="15" hidden="false" customHeight="false" outlineLevel="0" collapsed="false">
      <c r="A30" s="13" t="str">
        <f aca="false">IF(19&lt;=$B$7,19,"")</f>
        <v/>
      </c>
      <c r="B30" s="26" t="str">
        <f aca="false">IF($A30="","",EDATE($B$5,($A30-1)*'Súpis dlhov'!$B$5))</f>
        <v/>
      </c>
      <c r="C30" s="26" t="str">
        <f aca="false">IF($A30="","",EDATE($B$5,$A30*'Súpis dlhov'!$B$5))</f>
        <v/>
      </c>
      <c r="D30" s="14" t="str">
        <f aca="false">IF($A30="","",$F29)</f>
        <v/>
      </c>
      <c r="E30" s="14" t="str">
        <f aca="false">IF($A30="","",$D30*$B$8)</f>
        <v/>
      </c>
      <c r="F30" s="14" t="str">
        <f aca="false">IF($A30="","",$D30+$E30)</f>
        <v/>
      </c>
    </row>
    <row r="31" customFormat="false" ht="15" hidden="false" customHeight="false" outlineLevel="0" collapsed="false">
      <c r="A31" s="13" t="str">
        <f aca="false">IF(20&lt;=$B$7,20,"")</f>
        <v/>
      </c>
      <c r="B31" s="26" t="str">
        <f aca="false">IF($A31="","",EDATE($B$5,($A31-1)*'Súpis dlhov'!$B$5))</f>
        <v/>
      </c>
      <c r="C31" s="26" t="str">
        <f aca="false">IF($A31="","",EDATE($B$5,$A31*'Súpis dlhov'!$B$5))</f>
        <v/>
      </c>
      <c r="D31" s="14" t="str">
        <f aca="false">IF($A31="","",$F30)</f>
        <v/>
      </c>
      <c r="E31" s="14" t="str">
        <f aca="false">IF($A31="","",$D31*$B$8)</f>
        <v/>
      </c>
      <c r="F31" s="14" t="str">
        <f aca="false">IF($A31="","",$D31+$E31)</f>
        <v/>
      </c>
    </row>
    <row r="32" customFormat="false" ht="15" hidden="false" customHeight="false" outlineLevel="0" collapsed="false">
      <c r="A32" s="13" t="str">
        <f aca="false">IF(21&lt;=$B$7,21,"")</f>
        <v/>
      </c>
      <c r="B32" s="26" t="str">
        <f aca="false">IF($A32="","",EDATE($B$5,($A32-1)*'Súpis dlhov'!$B$5))</f>
        <v/>
      </c>
      <c r="C32" s="26" t="str">
        <f aca="false">IF($A32="","",EDATE($B$5,$A32*'Súpis dlhov'!$B$5))</f>
        <v/>
      </c>
      <c r="D32" s="14" t="str">
        <f aca="false">IF($A32="","",$F31)</f>
        <v/>
      </c>
      <c r="E32" s="14" t="str">
        <f aca="false">IF($A32="","",$D32*$B$8)</f>
        <v/>
      </c>
      <c r="F32" s="14" t="str">
        <f aca="false">IF($A32="","",$D32+$E32)</f>
        <v/>
      </c>
    </row>
    <row r="33" customFormat="false" ht="15" hidden="false" customHeight="false" outlineLevel="0" collapsed="false">
      <c r="A33" s="13" t="str">
        <f aca="false">IF(22&lt;=$B$7,22,"")</f>
        <v/>
      </c>
      <c r="B33" s="26" t="str">
        <f aca="false">IF($A33="","",EDATE($B$5,($A33-1)*'Súpis dlhov'!$B$5))</f>
        <v/>
      </c>
      <c r="C33" s="26" t="str">
        <f aca="false">IF($A33="","",EDATE($B$5,$A33*'Súpis dlhov'!$B$5))</f>
        <v/>
      </c>
      <c r="D33" s="14" t="str">
        <f aca="false">IF($A33="","",$F32)</f>
        <v/>
      </c>
      <c r="E33" s="14" t="str">
        <f aca="false">IF($A33="","",$D33*$B$8)</f>
        <v/>
      </c>
      <c r="F33" s="14" t="str">
        <f aca="false">IF($A33="","",$D33+$E33)</f>
        <v/>
      </c>
    </row>
    <row r="34" customFormat="false" ht="15" hidden="false" customHeight="false" outlineLevel="0" collapsed="false">
      <c r="A34" s="13" t="str">
        <f aca="false">IF(23&lt;=$B$7,23,"")</f>
        <v/>
      </c>
      <c r="B34" s="26" t="str">
        <f aca="false">IF($A34="","",EDATE($B$5,($A34-1)*'Súpis dlhov'!$B$5))</f>
        <v/>
      </c>
      <c r="C34" s="26" t="str">
        <f aca="false">IF($A34="","",EDATE($B$5,$A34*'Súpis dlhov'!$B$5))</f>
        <v/>
      </c>
      <c r="D34" s="14" t="str">
        <f aca="false">IF($A34="","",$F33)</f>
        <v/>
      </c>
      <c r="E34" s="14" t="str">
        <f aca="false">IF($A34="","",$D34*$B$8)</f>
        <v/>
      </c>
      <c r="F34" s="14" t="str">
        <f aca="false">IF($A34="","",$D34+$E34)</f>
        <v/>
      </c>
    </row>
    <row r="35" customFormat="false" ht="15" hidden="false" customHeight="false" outlineLevel="0" collapsed="false">
      <c r="A35" s="13" t="str">
        <f aca="false">IF(24&lt;=$B$7,24,"")</f>
        <v/>
      </c>
      <c r="B35" s="26" t="str">
        <f aca="false">IF($A35="","",EDATE($B$5,($A35-1)*'Súpis dlhov'!$B$5))</f>
        <v/>
      </c>
      <c r="C35" s="26" t="str">
        <f aca="false">IF($A35="","",EDATE($B$5,$A35*'Súpis dlhov'!$B$5))</f>
        <v/>
      </c>
      <c r="D35" s="14" t="str">
        <f aca="false">IF($A35="","",$F34)</f>
        <v/>
      </c>
      <c r="E35" s="14" t="str">
        <f aca="false">IF($A35="","",$D35*$B$8)</f>
        <v/>
      </c>
      <c r="F35" s="14" t="str">
        <f aca="false">IF($A35="","",$D35+$E35)</f>
        <v/>
      </c>
    </row>
    <row r="36" customFormat="false" ht="15" hidden="false" customHeight="false" outlineLevel="0" collapsed="false">
      <c r="A36" s="13" t="str">
        <f aca="false">IF(25&lt;=$B$7,25,"")</f>
        <v/>
      </c>
      <c r="B36" s="26" t="str">
        <f aca="false">IF($A36="","",EDATE($B$5,($A36-1)*'Súpis dlhov'!$B$5))</f>
        <v/>
      </c>
      <c r="C36" s="26" t="str">
        <f aca="false">IF($A36="","",EDATE($B$5,$A36*'Súpis dlhov'!$B$5))</f>
        <v/>
      </c>
      <c r="D36" s="14" t="str">
        <f aca="false">IF($A36="","",$F35)</f>
        <v/>
      </c>
      <c r="E36" s="14" t="str">
        <f aca="false">IF($A36="","",$D36*$B$8)</f>
        <v/>
      </c>
      <c r="F36" s="14" t="str">
        <f aca="false">IF($A36="","",$D36+$E36)</f>
        <v/>
      </c>
    </row>
    <row r="37" customFormat="false" ht="15" hidden="false" customHeight="false" outlineLevel="0" collapsed="false">
      <c r="A37" s="13" t="str">
        <f aca="false">IF(26&lt;=$B$7,26,"")</f>
        <v/>
      </c>
      <c r="B37" s="26" t="str">
        <f aca="false">IF($A37="","",EDATE($B$5,($A37-1)*'Súpis dlhov'!$B$5))</f>
        <v/>
      </c>
      <c r="C37" s="26" t="str">
        <f aca="false">IF($A37="","",EDATE($B$5,$A37*'Súpis dlhov'!$B$5))</f>
        <v/>
      </c>
      <c r="D37" s="14" t="str">
        <f aca="false">IF($A37="","",$F36)</f>
        <v/>
      </c>
      <c r="E37" s="14" t="str">
        <f aca="false">IF($A37="","",$D37*$B$8)</f>
        <v/>
      </c>
      <c r="F37" s="14" t="str">
        <f aca="false">IF($A37="","",$D37+$E37)</f>
        <v/>
      </c>
    </row>
    <row r="38" customFormat="false" ht="15" hidden="false" customHeight="false" outlineLevel="0" collapsed="false">
      <c r="A38" s="13" t="str">
        <f aca="false">IF(27&lt;=$B$7,27,"")</f>
        <v/>
      </c>
      <c r="B38" s="26" t="str">
        <f aca="false">IF($A38="","",EDATE($B$5,($A38-1)*'Súpis dlhov'!$B$5))</f>
        <v/>
      </c>
      <c r="C38" s="26" t="str">
        <f aca="false">IF($A38="","",EDATE($B$5,$A38*'Súpis dlhov'!$B$5))</f>
        <v/>
      </c>
      <c r="D38" s="14" t="str">
        <f aca="false">IF($A38="","",$F37)</f>
        <v/>
      </c>
      <c r="E38" s="14" t="str">
        <f aca="false">IF($A38="","",$D38*$B$8)</f>
        <v/>
      </c>
      <c r="F38" s="14" t="str">
        <f aca="false">IF($A38="","",$D38+$E38)</f>
        <v/>
      </c>
    </row>
    <row r="39" customFormat="false" ht="15" hidden="false" customHeight="false" outlineLevel="0" collapsed="false">
      <c r="A39" s="13" t="str">
        <f aca="false">IF(28&lt;=$B$7,28,"")</f>
        <v/>
      </c>
      <c r="B39" s="26" t="str">
        <f aca="false">IF($A39="","",EDATE($B$5,($A39-1)*'Súpis dlhov'!$B$5))</f>
        <v/>
      </c>
      <c r="C39" s="26" t="str">
        <f aca="false">IF($A39="","",EDATE($B$5,$A39*'Súpis dlhov'!$B$5))</f>
        <v/>
      </c>
      <c r="D39" s="14" t="str">
        <f aca="false">IF($A39="","",$F38)</f>
        <v/>
      </c>
      <c r="E39" s="14" t="str">
        <f aca="false">IF($A39="","",$D39*$B$8)</f>
        <v/>
      </c>
      <c r="F39" s="14" t="str">
        <f aca="false">IF($A39="","",$D39+$E39)</f>
        <v/>
      </c>
    </row>
    <row r="40" customFormat="false" ht="15" hidden="false" customHeight="false" outlineLevel="0" collapsed="false">
      <c r="A40" s="13" t="str">
        <f aca="false">IF(29&lt;=$B$7,29,"")</f>
        <v/>
      </c>
      <c r="B40" s="26" t="str">
        <f aca="false">IF($A40="","",EDATE($B$5,($A40-1)*'Súpis dlhov'!$B$5))</f>
        <v/>
      </c>
      <c r="C40" s="26" t="str">
        <f aca="false">IF($A40="","",EDATE($B$5,$A40*'Súpis dlhov'!$B$5))</f>
        <v/>
      </c>
      <c r="D40" s="14" t="str">
        <f aca="false">IF($A40="","",$F39)</f>
        <v/>
      </c>
      <c r="E40" s="14" t="str">
        <f aca="false">IF($A40="","",$D40*$B$8)</f>
        <v/>
      </c>
      <c r="F40" s="14" t="str">
        <f aca="false">IF($A40="","",$D40+$E40)</f>
        <v/>
      </c>
    </row>
    <row r="41" customFormat="false" ht="15" hidden="false" customHeight="false" outlineLevel="0" collapsed="false">
      <c r="A41" s="13" t="str">
        <f aca="false">IF(30&lt;=$B$7,30,"")</f>
        <v/>
      </c>
      <c r="B41" s="26" t="str">
        <f aca="false">IF($A41="","",EDATE($B$5,($A41-1)*'Súpis dlhov'!$B$5))</f>
        <v/>
      </c>
      <c r="C41" s="26" t="str">
        <f aca="false">IF($A41="","",EDATE($B$5,$A41*'Súpis dlhov'!$B$5))</f>
        <v/>
      </c>
      <c r="D41" s="14" t="str">
        <f aca="false">IF($A41="","",$F40)</f>
        <v/>
      </c>
      <c r="E41" s="14" t="str">
        <f aca="false">IF($A41="","",$D41*$B$8)</f>
        <v/>
      </c>
      <c r="F41" s="14" t="str">
        <f aca="false">IF($A41="","",$D41+$E41)</f>
        <v/>
      </c>
    </row>
    <row r="42" customFormat="false" ht="15" hidden="false" customHeight="false" outlineLevel="0" collapsed="false">
      <c r="A42" s="13" t="str">
        <f aca="false">IF(31&lt;=$B$7,31,"")</f>
        <v/>
      </c>
      <c r="B42" s="26" t="str">
        <f aca="false">IF($A42="","",EDATE($B$5,($A42-1)*'Súpis dlhov'!$B$5))</f>
        <v/>
      </c>
      <c r="C42" s="26" t="str">
        <f aca="false">IF($A42="","",EDATE($B$5,$A42*'Súpis dlhov'!$B$5))</f>
        <v/>
      </c>
      <c r="D42" s="14" t="str">
        <f aca="false">IF($A42="","",$F41)</f>
        <v/>
      </c>
      <c r="E42" s="14" t="str">
        <f aca="false">IF($A42="","",$D42*$B$8)</f>
        <v/>
      </c>
      <c r="F42" s="14" t="str">
        <f aca="false">IF($A42="","",$D42+$E42)</f>
        <v/>
      </c>
    </row>
    <row r="43" customFormat="false" ht="15" hidden="false" customHeight="false" outlineLevel="0" collapsed="false">
      <c r="A43" s="13" t="str">
        <f aca="false">IF(32&lt;=$B$7,32,"")</f>
        <v/>
      </c>
      <c r="B43" s="26" t="str">
        <f aca="false">IF($A43="","",EDATE($B$5,($A43-1)*'Súpis dlhov'!$B$5))</f>
        <v/>
      </c>
      <c r="C43" s="26" t="str">
        <f aca="false">IF($A43="","",EDATE($B$5,$A43*'Súpis dlhov'!$B$5))</f>
        <v/>
      </c>
      <c r="D43" s="14" t="str">
        <f aca="false">IF($A43="","",$F42)</f>
        <v/>
      </c>
      <c r="E43" s="14" t="str">
        <f aca="false">IF($A43="","",$D43*$B$8)</f>
        <v/>
      </c>
      <c r="F43" s="14" t="str">
        <f aca="false">IF($A43="","",$D43+$E43)</f>
        <v/>
      </c>
    </row>
    <row r="44" customFormat="false" ht="15" hidden="false" customHeight="false" outlineLevel="0" collapsed="false">
      <c r="A44" s="13" t="str">
        <f aca="false">IF(33&lt;=$B$7,33,"")</f>
        <v/>
      </c>
      <c r="B44" s="26" t="str">
        <f aca="false">IF($A44="","",EDATE($B$5,($A44-1)*'Súpis dlhov'!$B$5))</f>
        <v/>
      </c>
      <c r="C44" s="26" t="str">
        <f aca="false">IF($A44="","",EDATE($B$5,$A44*'Súpis dlhov'!$B$5))</f>
        <v/>
      </c>
      <c r="D44" s="14" t="str">
        <f aca="false">IF($A44="","",$F43)</f>
        <v/>
      </c>
      <c r="E44" s="14" t="str">
        <f aca="false">IF($A44="","",$D44*$B$8)</f>
        <v/>
      </c>
      <c r="F44" s="14" t="str">
        <f aca="false">IF($A44="","",$D44+$E44)</f>
        <v/>
      </c>
    </row>
    <row r="45" customFormat="false" ht="15" hidden="false" customHeight="false" outlineLevel="0" collapsed="false">
      <c r="A45" s="13" t="str">
        <f aca="false">IF(34&lt;=$B$7,34,"")</f>
        <v/>
      </c>
      <c r="B45" s="26" t="str">
        <f aca="false">IF($A45="","",EDATE($B$5,($A45-1)*'Súpis dlhov'!$B$5))</f>
        <v/>
      </c>
      <c r="C45" s="26" t="str">
        <f aca="false">IF($A45="","",EDATE($B$5,$A45*'Súpis dlhov'!$B$5))</f>
        <v/>
      </c>
      <c r="D45" s="14" t="str">
        <f aca="false">IF($A45="","",$F44)</f>
        <v/>
      </c>
      <c r="E45" s="14" t="str">
        <f aca="false">IF($A45="","",$D45*$B$8)</f>
        <v/>
      </c>
      <c r="F45" s="14" t="str">
        <f aca="false">IF($A45="","",$D45+$E45)</f>
        <v/>
      </c>
    </row>
    <row r="46" customFormat="false" ht="15" hidden="false" customHeight="false" outlineLevel="0" collapsed="false">
      <c r="A46" s="13" t="str">
        <f aca="false">IF(35&lt;=$B$7,35,"")</f>
        <v/>
      </c>
      <c r="B46" s="26" t="str">
        <f aca="false">IF($A46="","",EDATE($B$5,($A46-1)*'Súpis dlhov'!$B$5))</f>
        <v/>
      </c>
      <c r="C46" s="26" t="str">
        <f aca="false">IF($A46="","",EDATE($B$5,$A46*'Súpis dlhov'!$B$5))</f>
        <v/>
      </c>
      <c r="D46" s="14" t="str">
        <f aca="false">IF($A46="","",$F45)</f>
        <v/>
      </c>
      <c r="E46" s="14" t="str">
        <f aca="false">IF($A46="","",$D46*$B$8)</f>
        <v/>
      </c>
      <c r="F46" s="14" t="str">
        <f aca="false">IF($A46="","",$D46+$E46)</f>
        <v/>
      </c>
    </row>
    <row r="47" customFormat="false" ht="15" hidden="false" customHeight="false" outlineLevel="0" collapsed="false">
      <c r="A47" s="13" t="str">
        <f aca="false">IF(36&lt;=$B$7,36,"")</f>
        <v/>
      </c>
      <c r="B47" s="26" t="str">
        <f aca="false">IF($A47="","",EDATE($B$5,($A47-1)*'Súpis dlhov'!$B$5))</f>
        <v/>
      </c>
      <c r="C47" s="26" t="str">
        <f aca="false">IF($A47="","",EDATE($B$5,$A47*'Súpis dlhov'!$B$5))</f>
        <v/>
      </c>
      <c r="D47" s="14" t="str">
        <f aca="false">IF($A47="","",$F46)</f>
        <v/>
      </c>
      <c r="E47" s="14" t="str">
        <f aca="false">IF($A47="","",$D47*$B$8)</f>
        <v/>
      </c>
      <c r="F47" s="14" t="str">
        <f aca="false">IF($A47="","",$D47+$E47)</f>
        <v/>
      </c>
    </row>
    <row r="48" customFormat="false" ht="15" hidden="false" customHeight="false" outlineLevel="0" collapsed="false">
      <c r="A48" s="13" t="str">
        <f aca="false">IF(37&lt;=$B$7,37,"")</f>
        <v/>
      </c>
      <c r="B48" s="26" t="str">
        <f aca="false">IF($A48="","",EDATE($B$5,($A48-1)*'Súpis dlhov'!$B$5))</f>
        <v/>
      </c>
      <c r="C48" s="26" t="str">
        <f aca="false">IF($A48="","",EDATE($B$5,$A48*'Súpis dlhov'!$B$5))</f>
        <v/>
      </c>
      <c r="D48" s="14" t="str">
        <f aca="false">IF($A48="","",$F47)</f>
        <v/>
      </c>
      <c r="E48" s="14" t="str">
        <f aca="false">IF($A48="","",$D48*$B$8)</f>
        <v/>
      </c>
      <c r="F48" s="14" t="str">
        <f aca="false">IF($A48="","",$D48+$E48)</f>
        <v/>
      </c>
    </row>
    <row r="49" customFormat="false" ht="15" hidden="false" customHeight="false" outlineLevel="0" collapsed="false">
      <c r="A49" s="13" t="str">
        <f aca="false">IF(38&lt;=$B$7,38,"")</f>
        <v/>
      </c>
      <c r="B49" s="26" t="str">
        <f aca="false">IF($A49="","",EDATE($B$5,($A49-1)*'Súpis dlhov'!$B$5))</f>
        <v/>
      </c>
      <c r="C49" s="26" t="str">
        <f aca="false">IF($A49="","",EDATE($B$5,$A49*'Súpis dlhov'!$B$5))</f>
        <v/>
      </c>
      <c r="D49" s="14" t="str">
        <f aca="false">IF($A49="","",$F48)</f>
        <v/>
      </c>
      <c r="E49" s="14" t="str">
        <f aca="false">IF($A49="","",$D49*$B$8)</f>
        <v/>
      </c>
      <c r="F49" s="14" t="str">
        <f aca="false">IF($A49="","",$D49+$E49)</f>
        <v/>
      </c>
    </row>
    <row r="50" customFormat="false" ht="15" hidden="false" customHeight="false" outlineLevel="0" collapsed="false">
      <c r="A50" s="13" t="str">
        <f aca="false">IF(39&lt;=$B$7,39,"")</f>
        <v/>
      </c>
      <c r="B50" s="26" t="str">
        <f aca="false">IF($A50="","",EDATE($B$5,($A50-1)*'Súpis dlhov'!$B$5))</f>
        <v/>
      </c>
      <c r="C50" s="26" t="str">
        <f aca="false">IF($A50="","",EDATE($B$5,$A50*'Súpis dlhov'!$B$5))</f>
        <v/>
      </c>
      <c r="D50" s="14" t="str">
        <f aca="false">IF($A50="","",$F49)</f>
        <v/>
      </c>
      <c r="E50" s="14" t="str">
        <f aca="false">IF($A50="","",$D50*$B$8)</f>
        <v/>
      </c>
      <c r="F50" s="14" t="str">
        <f aca="false">IF($A50="","",$D50+$E50)</f>
        <v/>
      </c>
    </row>
    <row r="51" customFormat="false" ht="15" hidden="false" customHeight="false" outlineLevel="0" collapsed="false">
      <c r="A51" s="13" t="str">
        <f aca="false">IF(40&lt;=$B$7,40,"")</f>
        <v/>
      </c>
      <c r="B51" s="26" t="str">
        <f aca="false">IF($A51="","",EDATE($B$5,($A51-1)*'Súpis dlhov'!$B$5))</f>
        <v/>
      </c>
      <c r="C51" s="26" t="str">
        <f aca="false">IF($A51="","",EDATE($B$5,$A51*'Súpis dlhov'!$B$5))</f>
        <v/>
      </c>
      <c r="D51" s="14" t="str">
        <f aca="false">IF($A51="","",$F50)</f>
        <v/>
      </c>
      <c r="E51" s="14" t="str">
        <f aca="false">IF($A51="","",$D51*$B$8)</f>
        <v/>
      </c>
      <c r="F51" s="14" t="str">
        <f aca="false">IF($A51="","",$D51+$E51)</f>
        <v/>
      </c>
    </row>
    <row r="52" customFormat="false" ht="15" hidden="false" customHeight="false" outlineLevel="0" collapsed="false">
      <c r="A52" s="13" t="str">
        <f aca="false">IF(41&lt;=$B$7,41,"")</f>
        <v/>
      </c>
      <c r="B52" s="26" t="str">
        <f aca="false">IF($A52="","",EDATE($B$5,($A52-1)*'Súpis dlhov'!$B$5))</f>
        <v/>
      </c>
      <c r="C52" s="26" t="str">
        <f aca="false">IF($A52="","",EDATE($B$5,$A52*'Súpis dlhov'!$B$5))</f>
        <v/>
      </c>
      <c r="D52" s="14" t="str">
        <f aca="false">IF($A52="","",$F51)</f>
        <v/>
      </c>
      <c r="E52" s="14" t="str">
        <f aca="false">IF($A52="","",$D52*$B$8)</f>
        <v/>
      </c>
      <c r="F52" s="14" t="str">
        <f aca="false">IF($A52="","",$D52+$E52)</f>
        <v/>
      </c>
    </row>
    <row r="53" customFormat="false" ht="15" hidden="false" customHeight="false" outlineLevel="0" collapsed="false">
      <c r="A53" s="13" t="str">
        <f aca="false">IF(42&lt;=$B$7,42,"")</f>
        <v/>
      </c>
      <c r="B53" s="26" t="str">
        <f aca="false">IF($A53="","",EDATE($B$5,($A53-1)*'Súpis dlhov'!$B$5))</f>
        <v/>
      </c>
      <c r="C53" s="26" t="str">
        <f aca="false">IF($A53="","",EDATE($B$5,$A53*'Súpis dlhov'!$B$5))</f>
        <v/>
      </c>
      <c r="D53" s="14" t="str">
        <f aca="false">IF($A53="","",$F52)</f>
        <v/>
      </c>
      <c r="E53" s="14" t="str">
        <f aca="false">IF($A53="","",$D53*$B$8)</f>
        <v/>
      </c>
      <c r="F53" s="14" t="str">
        <f aca="false">IF($A53="","",$D53+$E53)</f>
        <v/>
      </c>
    </row>
    <row r="54" customFormat="false" ht="15" hidden="false" customHeight="false" outlineLevel="0" collapsed="false">
      <c r="A54" s="13" t="str">
        <f aca="false">IF(43&lt;=$B$7,43,"")</f>
        <v/>
      </c>
      <c r="B54" s="26" t="str">
        <f aca="false">IF($A54="","",EDATE($B$5,($A54-1)*'Súpis dlhov'!$B$5))</f>
        <v/>
      </c>
      <c r="C54" s="26" t="str">
        <f aca="false">IF($A54="","",EDATE($B$5,$A54*'Súpis dlhov'!$B$5))</f>
        <v/>
      </c>
      <c r="D54" s="14" t="str">
        <f aca="false">IF($A54="","",$F53)</f>
        <v/>
      </c>
      <c r="E54" s="14" t="str">
        <f aca="false">IF($A54="","",$D54*$B$8)</f>
        <v/>
      </c>
      <c r="F54" s="14" t="str">
        <f aca="false">IF($A54="","",$D54+$E54)</f>
        <v/>
      </c>
    </row>
    <row r="55" customFormat="false" ht="15" hidden="false" customHeight="false" outlineLevel="0" collapsed="false">
      <c r="A55" s="13" t="str">
        <f aca="false">IF(44&lt;=$B$7,44,"")</f>
        <v/>
      </c>
      <c r="B55" s="26" t="str">
        <f aca="false">IF($A55="","",EDATE($B$5,($A55-1)*'Súpis dlhov'!$B$5))</f>
        <v/>
      </c>
      <c r="C55" s="26" t="str">
        <f aca="false">IF($A55="","",EDATE($B$5,$A55*'Súpis dlhov'!$B$5))</f>
        <v/>
      </c>
      <c r="D55" s="14" t="str">
        <f aca="false">IF($A55="","",$F54)</f>
        <v/>
      </c>
      <c r="E55" s="14" t="str">
        <f aca="false">IF($A55="","",$D55*$B$8)</f>
        <v/>
      </c>
      <c r="F55" s="14" t="str">
        <f aca="false">IF($A55="","",$D55+$E55)</f>
        <v/>
      </c>
    </row>
    <row r="56" customFormat="false" ht="15" hidden="false" customHeight="false" outlineLevel="0" collapsed="false">
      <c r="A56" s="13" t="str">
        <f aca="false">IF(45&lt;=$B$7,45,"")</f>
        <v/>
      </c>
      <c r="B56" s="26" t="str">
        <f aca="false">IF($A56="","",EDATE($B$5,($A56-1)*'Súpis dlhov'!$B$5))</f>
        <v/>
      </c>
      <c r="C56" s="26" t="str">
        <f aca="false">IF($A56="","",EDATE($B$5,$A56*'Súpis dlhov'!$B$5))</f>
        <v/>
      </c>
      <c r="D56" s="14" t="str">
        <f aca="false">IF($A56="","",$F55)</f>
        <v/>
      </c>
      <c r="E56" s="14" t="str">
        <f aca="false">IF($A56="","",$D56*$B$8)</f>
        <v/>
      </c>
      <c r="F56" s="14" t="str">
        <f aca="false">IF($A56="","",$D56+$E56)</f>
        <v/>
      </c>
    </row>
    <row r="57" customFormat="false" ht="15" hidden="false" customHeight="false" outlineLevel="0" collapsed="false">
      <c r="A57" s="13" t="str">
        <f aca="false">IF(46&lt;=$B$7,46,"")</f>
        <v/>
      </c>
      <c r="B57" s="26" t="str">
        <f aca="false">IF($A57="","",EDATE($B$5,($A57-1)*'Súpis dlhov'!$B$5))</f>
        <v/>
      </c>
      <c r="C57" s="26" t="str">
        <f aca="false">IF($A57="","",EDATE($B$5,$A57*'Súpis dlhov'!$B$5))</f>
        <v/>
      </c>
      <c r="D57" s="14" t="str">
        <f aca="false">IF($A57="","",$F56)</f>
        <v/>
      </c>
      <c r="E57" s="14" t="str">
        <f aca="false">IF($A57="","",$D57*$B$8)</f>
        <v/>
      </c>
      <c r="F57" s="14" t="str">
        <f aca="false">IF($A57="","",$D57+$E57)</f>
        <v/>
      </c>
    </row>
    <row r="58" customFormat="false" ht="15" hidden="false" customHeight="false" outlineLevel="0" collapsed="false">
      <c r="A58" s="13" t="str">
        <f aca="false">IF(47&lt;=$B$7,47,"")</f>
        <v/>
      </c>
      <c r="B58" s="26" t="str">
        <f aca="false">IF($A58="","",EDATE($B$5,($A58-1)*'Súpis dlhov'!$B$5))</f>
        <v/>
      </c>
      <c r="C58" s="26" t="str">
        <f aca="false">IF($A58="","",EDATE($B$5,$A58*'Súpis dlhov'!$B$5))</f>
        <v/>
      </c>
      <c r="D58" s="14" t="str">
        <f aca="false">IF($A58="","",$F57)</f>
        <v/>
      </c>
      <c r="E58" s="14" t="str">
        <f aca="false">IF($A58="","",$D58*$B$8)</f>
        <v/>
      </c>
      <c r="F58" s="14" t="str">
        <f aca="false">IF($A58="","",$D58+$E58)</f>
        <v/>
      </c>
    </row>
    <row r="59" customFormat="false" ht="15" hidden="false" customHeight="false" outlineLevel="0" collapsed="false">
      <c r="A59" s="13" t="str">
        <f aca="false">IF(48&lt;=$B$7,48,"")</f>
        <v/>
      </c>
      <c r="B59" s="26" t="str">
        <f aca="false">IF($A59="","",EDATE($B$5,($A59-1)*'Súpis dlhov'!$B$5))</f>
        <v/>
      </c>
      <c r="C59" s="26" t="str">
        <f aca="false">IF($A59="","",EDATE($B$5,$A59*'Súpis dlhov'!$B$5))</f>
        <v/>
      </c>
      <c r="D59" s="14" t="str">
        <f aca="false">IF($A59="","",$F58)</f>
        <v/>
      </c>
      <c r="E59" s="14" t="str">
        <f aca="false">IF($A59="","",$D59*$B$8)</f>
        <v/>
      </c>
      <c r="F59" s="14" t="str">
        <f aca="false">IF($A59="","",$D59+$E59)</f>
        <v/>
      </c>
    </row>
    <row r="60" customFormat="false" ht="15" hidden="false" customHeight="false" outlineLevel="0" collapsed="false">
      <c r="A60" s="13" t="str">
        <f aca="false">IF(49&lt;=$B$7,49,"")</f>
        <v/>
      </c>
      <c r="B60" s="26" t="str">
        <f aca="false">IF($A60="","",EDATE($B$5,($A60-1)*'Súpis dlhov'!$B$5))</f>
        <v/>
      </c>
      <c r="C60" s="26" t="str">
        <f aca="false">IF($A60="","",EDATE($B$5,$A60*'Súpis dlhov'!$B$5))</f>
        <v/>
      </c>
      <c r="D60" s="14" t="str">
        <f aca="false">IF($A60="","",$F59)</f>
        <v/>
      </c>
      <c r="E60" s="14" t="str">
        <f aca="false">IF($A60="","",$D60*$B$8)</f>
        <v/>
      </c>
      <c r="F60" s="14" t="str">
        <f aca="false">IF($A60="","",$D60+$E60)</f>
        <v/>
      </c>
    </row>
    <row r="61" customFormat="false" ht="15" hidden="false" customHeight="false" outlineLevel="0" collapsed="false">
      <c r="A61" s="13" t="str">
        <f aca="false">IF(50&lt;=$B$7,50,"")</f>
        <v/>
      </c>
      <c r="B61" s="26" t="str">
        <f aca="false">IF($A61="","",EDATE($B$5,($A61-1)*'Súpis dlhov'!$B$5))</f>
        <v/>
      </c>
      <c r="C61" s="26" t="str">
        <f aca="false">IF($A61="","",EDATE($B$5,$A61*'Súpis dlhov'!$B$5))</f>
        <v/>
      </c>
      <c r="D61" s="14" t="str">
        <f aca="false">IF($A61="","",$F60)</f>
        <v/>
      </c>
      <c r="E61" s="14" t="str">
        <f aca="false">IF($A61="","",$D61*$B$8)</f>
        <v/>
      </c>
      <c r="F61" s="14" t="str">
        <f aca="false">IF($A61="","",$D61+$E61)</f>
        <v/>
      </c>
    </row>
    <row r="62" customFormat="false" ht="15" hidden="false" customHeight="false" outlineLevel="0" collapsed="false">
      <c r="A62" s="13" t="str">
        <f aca="false">IF(51&lt;=$B$7,51,"")</f>
        <v/>
      </c>
      <c r="B62" s="26" t="str">
        <f aca="false">IF($A62="","",EDATE($B$5,($A62-1)*'Súpis dlhov'!$B$5))</f>
        <v/>
      </c>
      <c r="C62" s="26" t="str">
        <f aca="false">IF($A62="","",EDATE($B$5,$A62*'Súpis dlhov'!$B$5))</f>
        <v/>
      </c>
      <c r="D62" s="14" t="str">
        <f aca="false">IF($A62="","",$F61)</f>
        <v/>
      </c>
      <c r="E62" s="14" t="str">
        <f aca="false">IF($A62="","",$D62*$B$8)</f>
        <v/>
      </c>
      <c r="F62" s="14" t="str">
        <f aca="false">IF($A62="","",$D62+$E62)</f>
        <v/>
      </c>
    </row>
    <row r="63" customFormat="false" ht="15" hidden="false" customHeight="false" outlineLevel="0" collapsed="false">
      <c r="A63" s="13" t="str">
        <f aca="false">IF(52&lt;=$B$7,52,"")</f>
        <v/>
      </c>
      <c r="B63" s="26" t="str">
        <f aca="false">IF($A63="","",EDATE($B$5,($A63-1)*'Súpis dlhov'!$B$5))</f>
        <v/>
      </c>
      <c r="C63" s="26" t="str">
        <f aca="false">IF($A63="","",EDATE($B$5,$A63*'Súpis dlhov'!$B$5))</f>
        <v/>
      </c>
      <c r="D63" s="14" t="str">
        <f aca="false">IF($A63="","",$F62)</f>
        <v/>
      </c>
      <c r="E63" s="14" t="str">
        <f aca="false">IF($A63="","",$D63*$B$8)</f>
        <v/>
      </c>
      <c r="F63" s="14" t="str">
        <f aca="false">IF($A63="","",$D63+$E63)</f>
        <v/>
      </c>
    </row>
    <row r="64" customFormat="false" ht="15" hidden="false" customHeight="false" outlineLevel="0" collapsed="false">
      <c r="A64" s="13" t="str">
        <f aca="false">IF(53&lt;=$B$7,53,"")</f>
        <v/>
      </c>
      <c r="B64" s="26" t="str">
        <f aca="false">IF($A64="","",EDATE($B$5,($A64-1)*'Súpis dlhov'!$B$5))</f>
        <v/>
      </c>
      <c r="C64" s="26" t="str">
        <f aca="false">IF($A64="","",EDATE($B$5,$A64*'Súpis dlhov'!$B$5))</f>
        <v/>
      </c>
      <c r="D64" s="14" t="str">
        <f aca="false">IF($A64="","",$F63)</f>
        <v/>
      </c>
      <c r="E64" s="14" t="str">
        <f aca="false">IF($A64="","",$D64*$B$8)</f>
        <v/>
      </c>
      <c r="F64" s="14" t="str">
        <f aca="false">IF($A64="","",$D64+$E64)</f>
        <v/>
      </c>
    </row>
    <row r="65" customFormat="false" ht="15" hidden="false" customHeight="false" outlineLevel="0" collapsed="false">
      <c r="A65" s="13" t="str">
        <f aca="false">IF(54&lt;=$B$7,54,"")</f>
        <v/>
      </c>
      <c r="B65" s="26" t="str">
        <f aca="false">IF($A65="","",EDATE($B$5,($A65-1)*'Súpis dlhov'!$B$5))</f>
        <v/>
      </c>
      <c r="C65" s="26" t="str">
        <f aca="false">IF($A65="","",EDATE($B$5,$A65*'Súpis dlhov'!$B$5))</f>
        <v/>
      </c>
      <c r="D65" s="14" t="str">
        <f aca="false">IF($A65="","",$F64)</f>
        <v/>
      </c>
      <c r="E65" s="14" t="str">
        <f aca="false">IF($A65="","",$D65*$B$8)</f>
        <v/>
      </c>
      <c r="F65" s="14" t="str">
        <f aca="false">IF($A65="","",$D65+$E65)</f>
        <v/>
      </c>
    </row>
    <row r="66" customFormat="false" ht="15" hidden="false" customHeight="false" outlineLevel="0" collapsed="false">
      <c r="A66" s="13" t="str">
        <f aca="false">IF(55&lt;=$B$7,55,"")</f>
        <v/>
      </c>
      <c r="B66" s="26" t="str">
        <f aca="false">IF($A66="","",EDATE($B$5,($A66-1)*'Súpis dlhov'!$B$5))</f>
        <v/>
      </c>
      <c r="C66" s="26" t="str">
        <f aca="false">IF($A66="","",EDATE($B$5,$A66*'Súpis dlhov'!$B$5))</f>
        <v/>
      </c>
      <c r="D66" s="14" t="str">
        <f aca="false">IF($A66="","",$F65)</f>
        <v/>
      </c>
      <c r="E66" s="14" t="str">
        <f aca="false">IF($A66="","",$D66*$B$8)</f>
        <v/>
      </c>
      <c r="F66" s="14" t="str">
        <f aca="false">IF($A66="","",$D66+$E66)</f>
        <v/>
      </c>
    </row>
    <row r="67" customFormat="false" ht="15" hidden="false" customHeight="false" outlineLevel="0" collapsed="false">
      <c r="A67" s="13" t="str">
        <f aca="false">IF(56&lt;=$B$7,56,"")</f>
        <v/>
      </c>
      <c r="B67" s="26" t="str">
        <f aca="false">IF($A67="","",EDATE($B$5,($A67-1)*'Súpis dlhov'!$B$5))</f>
        <v/>
      </c>
      <c r="C67" s="26" t="str">
        <f aca="false">IF($A67="","",EDATE($B$5,$A67*'Súpis dlhov'!$B$5))</f>
        <v/>
      </c>
      <c r="D67" s="14" t="str">
        <f aca="false">IF($A67="","",$F66)</f>
        <v/>
      </c>
      <c r="E67" s="14" t="str">
        <f aca="false">IF($A67="","",$D67*$B$8)</f>
        <v/>
      </c>
      <c r="F67" s="14" t="str">
        <f aca="false">IF($A67="","",$D67+$E67)</f>
        <v/>
      </c>
    </row>
    <row r="68" customFormat="false" ht="15" hidden="false" customHeight="false" outlineLevel="0" collapsed="false">
      <c r="A68" s="13" t="str">
        <f aca="false">IF(57&lt;=$B$7,57,"")</f>
        <v/>
      </c>
      <c r="B68" s="26" t="str">
        <f aca="false">IF($A68="","",EDATE($B$5,($A68-1)*'Súpis dlhov'!$B$5))</f>
        <v/>
      </c>
      <c r="C68" s="26" t="str">
        <f aca="false">IF($A68="","",EDATE($B$5,$A68*'Súpis dlhov'!$B$5))</f>
        <v/>
      </c>
      <c r="D68" s="14" t="str">
        <f aca="false">IF($A68="","",$F67)</f>
        <v/>
      </c>
      <c r="E68" s="14" t="str">
        <f aca="false">IF($A68="","",$D68*$B$8)</f>
        <v/>
      </c>
      <c r="F68" s="14" t="str">
        <f aca="false">IF($A68="","",$D68+$E68)</f>
        <v/>
      </c>
    </row>
    <row r="69" customFormat="false" ht="15" hidden="false" customHeight="false" outlineLevel="0" collapsed="false">
      <c r="A69" s="13" t="str">
        <f aca="false">IF(58&lt;=$B$7,58,"")</f>
        <v/>
      </c>
      <c r="B69" s="26" t="str">
        <f aca="false">IF($A69="","",EDATE($B$5,($A69-1)*'Súpis dlhov'!$B$5))</f>
        <v/>
      </c>
      <c r="C69" s="26" t="str">
        <f aca="false">IF($A69="","",EDATE($B$5,$A69*'Súpis dlhov'!$B$5))</f>
        <v/>
      </c>
      <c r="D69" s="14" t="str">
        <f aca="false">IF($A69="","",$F68)</f>
        <v/>
      </c>
      <c r="E69" s="14" t="str">
        <f aca="false">IF($A69="","",$D69*$B$8)</f>
        <v/>
      </c>
      <c r="F69" s="14" t="str">
        <f aca="false">IF($A69="","",$D69+$E69)</f>
        <v/>
      </c>
    </row>
    <row r="70" customFormat="false" ht="15" hidden="false" customHeight="false" outlineLevel="0" collapsed="false">
      <c r="A70" s="13" t="str">
        <f aca="false">IF(59&lt;=$B$7,59,"")</f>
        <v/>
      </c>
      <c r="B70" s="26" t="str">
        <f aca="false">IF($A70="","",EDATE($B$5,($A70-1)*'Súpis dlhov'!$B$5))</f>
        <v/>
      </c>
      <c r="C70" s="26" t="str">
        <f aca="false">IF($A70="","",EDATE($B$5,$A70*'Súpis dlhov'!$B$5))</f>
        <v/>
      </c>
      <c r="D70" s="14" t="str">
        <f aca="false">IF($A70="","",$F69)</f>
        <v/>
      </c>
      <c r="E70" s="14" t="str">
        <f aca="false">IF($A70="","",$D70*$B$8)</f>
        <v/>
      </c>
      <c r="F70" s="14" t="str">
        <f aca="false">IF($A70="","",$D70+$E70)</f>
        <v/>
      </c>
    </row>
    <row r="71" customFormat="false" ht="15" hidden="false" customHeight="false" outlineLevel="0" collapsed="false">
      <c r="A71" s="13" t="str">
        <f aca="false">IF(60&lt;=$B$7,60,"")</f>
        <v/>
      </c>
      <c r="B71" s="26" t="str">
        <f aca="false">IF($A71="","",EDATE($B$5,($A71-1)*'Súpis dlhov'!$B$5))</f>
        <v/>
      </c>
      <c r="C71" s="26" t="str">
        <f aca="false">IF($A71="","",EDATE($B$5,$A71*'Súpis dlhov'!$B$5))</f>
        <v/>
      </c>
      <c r="D71" s="14" t="str">
        <f aca="false">IF($A71="","",$F70)</f>
        <v/>
      </c>
      <c r="E71" s="14" t="str">
        <f aca="false">IF($A71="","",$D71*$B$8)</f>
        <v/>
      </c>
      <c r="F71" s="14" t="str">
        <f aca="false">IF($A71="","",$D71+$E71)</f>
        <v/>
      </c>
    </row>
    <row r="72" customFormat="false" ht="15" hidden="false" customHeight="false" outlineLevel="0" collapsed="false">
      <c r="A72" s="13" t="str">
        <f aca="false">IF(61&lt;=$B$7,61,"")</f>
        <v/>
      </c>
      <c r="B72" s="26" t="str">
        <f aca="false">IF($A72="","",EDATE($B$5,($A72-1)*'Súpis dlhov'!$B$5))</f>
        <v/>
      </c>
      <c r="C72" s="26" t="str">
        <f aca="false">IF($A72="","",EDATE($B$5,$A72*'Súpis dlhov'!$B$5))</f>
        <v/>
      </c>
      <c r="D72" s="14" t="str">
        <f aca="false">IF($A72="","",$F71)</f>
        <v/>
      </c>
      <c r="E72" s="14" t="str">
        <f aca="false">IF($A72="","",$D72*$B$8)</f>
        <v/>
      </c>
      <c r="F72" s="14" t="str">
        <f aca="false">IF($A72="","",$D72+$E72)</f>
        <v/>
      </c>
    </row>
    <row r="73" customFormat="false" ht="15" hidden="false" customHeight="false" outlineLevel="0" collapsed="false">
      <c r="A73" s="13" t="str">
        <f aca="false">IF(62&lt;=$B$7,62,"")</f>
        <v/>
      </c>
      <c r="B73" s="26" t="str">
        <f aca="false">IF($A73="","",EDATE($B$5,($A73-1)*'Súpis dlhov'!$B$5))</f>
        <v/>
      </c>
      <c r="C73" s="26" t="str">
        <f aca="false">IF($A73="","",EDATE($B$5,$A73*'Súpis dlhov'!$B$5))</f>
        <v/>
      </c>
      <c r="D73" s="14" t="str">
        <f aca="false">IF($A73="","",$F72)</f>
        <v/>
      </c>
      <c r="E73" s="14" t="str">
        <f aca="false">IF($A73="","",$D73*$B$8)</f>
        <v/>
      </c>
      <c r="F73" s="14" t="str">
        <f aca="false">IF($A73="","",$D73+$E73)</f>
        <v/>
      </c>
    </row>
    <row r="74" customFormat="false" ht="15" hidden="false" customHeight="false" outlineLevel="0" collapsed="false">
      <c r="A74" s="13" t="str">
        <f aca="false">IF(63&lt;=$B$7,63,"")</f>
        <v/>
      </c>
      <c r="B74" s="26" t="str">
        <f aca="false">IF($A74="","",EDATE($B$5,($A74-1)*'Súpis dlhov'!$B$5))</f>
        <v/>
      </c>
      <c r="C74" s="26" t="str">
        <f aca="false">IF($A74="","",EDATE($B$5,$A74*'Súpis dlhov'!$B$5))</f>
        <v/>
      </c>
      <c r="D74" s="14" t="str">
        <f aca="false">IF($A74="","",$F73)</f>
        <v/>
      </c>
      <c r="E74" s="14" t="str">
        <f aca="false">IF($A74="","",$D74*$B$8)</f>
        <v/>
      </c>
      <c r="F74" s="14" t="str">
        <f aca="false">IF($A74="","",$D74+$E74)</f>
        <v/>
      </c>
    </row>
    <row r="75" customFormat="false" ht="15" hidden="false" customHeight="false" outlineLevel="0" collapsed="false">
      <c r="A75" s="13" t="str">
        <f aca="false">IF(64&lt;=$B$7,64,"")</f>
        <v/>
      </c>
      <c r="B75" s="26" t="str">
        <f aca="false">IF($A75="","",EDATE($B$5,($A75-1)*'Súpis dlhov'!$B$5))</f>
        <v/>
      </c>
      <c r="C75" s="26" t="str">
        <f aca="false">IF($A75="","",EDATE($B$5,$A75*'Súpis dlhov'!$B$5))</f>
        <v/>
      </c>
      <c r="D75" s="14" t="str">
        <f aca="false">IF($A75="","",$F74)</f>
        <v/>
      </c>
      <c r="E75" s="14" t="str">
        <f aca="false">IF($A75="","",$D75*$B$8)</f>
        <v/>
      </c>
      <c r="F75" s="14" t="str">
        <f aca="false">IF($A75="","",$D75+$E75)</f>
        <v/>
      </c>
    </row>
    <row r="76" customFormat="false" ht="15" hidden="false" customHeight="false" outlineLevel="0" collapsed="false">
      <c r="A76" s="13" t="str">
        <f aca="false">IF(65&lt;=$B$7,65,"")</f>
        <v/>
      </c>
      <c r="B76" s="26" t="str">
        <f aca="false">IF($A76="","",EDATE($B$5,($A76-1)*'Súpis dlhov'!$B$5))</f>
        <v/>
      </c>
      <c r="C76" s="26" t="str">
        <f aca="false">IF($A76="","",EDATE($B$5,$A76*'Súpis dlhov'!$B$5))</f>
        <v/>
      </c>
      <c r="D76" s="14" t="str">
        <f aca="false">IF($A76="","",$F75)</f>
        <v/>
      </c>
      <c r="E76" s="14" t="str">
        <f aca="false">IF($A76="","",$D76*$B$8)</f>
        <v/>
      </c>
      <c r="F76" s="14" t="str">
        <f aca="false">IF($A76="","",$D76+$E76)</f>
        <v/>
      </c>
    </row>
    <row r="77" customFormat="false" ht="15" hidden="false" customHeight="false" outlineLevel="0" collapsed="false">
      <c r="A77" s="13" t="str">
        <f aca="false">IF(66&lt;=$B$7,66,"")</f>
        <v/>
      </c>
      <c r="B77" s="26" t="str">
        <f aca="false">IF($A77="","",EDATE($B$5,($A77-1)*'Súpis dlhov'!$B$5))</f>
        <v/>
      </c>
      <c r="C77" s="26" t="str">
        <f aca="false">IF($A77="","",EDATE($B$5,$A77*'Súpis dlhov'!$B$5))</f>
        <v/>
      </c>
      <c r="D77" s="14" t="str">
        <f aca="false">IF($A77="","",$F76)</f>
        <v/>
      </c>
      <c r="E77" s="14" t="str">
        <f aca="false">IF($A77="","",$D77*$B$8)</f>
        <v/>
      </c>
      <c r="F77" s="14" t="str">
        <f aca="false">IF($A77="","",$D77+$E77)</f>
        <v/>
      </c>
    </row>
    <row r="78" customFormat="false" ht="15" hidden="false" customHeight="false" outlineLevel="0" collapsed="false">
      <c r="A78" s="13" t="str">
        <f aca="false">IF(67&lt;=$B$7,67,"")</f>
        <v/>
      </c>
      <c r="B78" s="26" t="str">
        <f aca="false">IF($A78="","",EDATE($B$5,($A78-1)*'Súpis dlhov'!$B$5))</f>
        <v/>
      </c>
      <c r="C78" s="26" t="str">
        <f aca="false">IF($A78="","",EDATE($B$5,$A78*'Súpis dlhov'!$B$5))</f>
        <v/>
      </c>
      <c r="D78" s="14" t="str">
        <f aca="false">IF($A78="","",$F77)</f>
        <v/>
      </c>
      <c r="E78" s="14" t="str">
        <f aca="false">IF($A78="","",$D78*$B$8)</f>
        <v/>
      </c>
      <c r="F78" s="14" t="str">
        <f aca="false">IF($A78="","",$D78+$E78)</f>
        <v/>
      </c>
    </row>
    <row r="79" customFormat="false" ht="15" hidden="false" customHeight="false" outlineLevel="0" collapsed="false">
      <c r="A79" s="13" t="str">
        <f aca="false">IF(68&lt;=$B$7,68,"")</f>
        <v/>
      </c>
      <c r="B79" s="26" t="str">
        <f aca="false">IF($A79="","",EDATE($B$5,($A79-1)*'Súpis dlhov'!$B$5))</f>
        <v/>
      </c>
      <c r="C79" s="26" t="str">
        <f aca="false">IF($A79="","",EDATE($B$5,$A79*'Súpis dlhov'!$B$5))</f>
        <v/>
      </c>
      <c r="D79" s="14" t="str">
        <f aca="false">IF($A79="","",$F78)</f>
        <v/>
      </c>
      <c r="E79" s="14" t="str">
        <f aca="false">IF($A79="","",$D79*$B$8)</f>
        <v/>
      </c>
      <c r="F79" s="14" t="str">
        <f aca="false">IF($A79="","",$D79+$E79)</f>
        <v/>
      </c>
    </row>
    <row r="80" customFormat="false" ht="15" hidden="false" customHeight="false" outlineLevel="0" collapsed="false">
      <c r="A80" s="13" t="str">
        <f aca="false">IF(69&lt;=$B$7,69,"")</f>
        <v/>
      </c>
      <c r="B80" s="26" t="str">
        <f aca="false">IF($A80="","",EDATE($B$5,($A80-1)*'Súpis dlhov'!$B$5))</f>
        <v/>
      </c>
      <c r="C80" s="26" t="str">
        <f aca="false">IF($A80="","",EDATE($B$5,$A80*'Súpis dlhov'!$B$5))</f>
        <v/>
      </c>
      <c r="D80" s="14" t="str">
        <f aca="false">IF($A80="","",$F79)</f>
        <v/>
      </c>
      <c r="E80" s="14" t="str">
        <f aca="false">IF($A80="","",$D80*$B$8)</f>
        <v/>
      </c>
      <c r="F80" s="14" t="str">
        <f aca="false">IF($A80="","",$D80+$E80)</f>
        <v/>
      </c>
    </row>
    <row r="81" customFormat="false" ht="15" hidden="false" customHeight="false" outlineLevel="0" collapsed="false">
      <c r="A81" s="13" t="str">
        <f aca="false">IF(70&lt;=$B$7,70,"")</f>
        <v/>
      </c>
      <c r="B81" s="26" t="str">
        <f aca="false">IF($A81="","",EDATE($B$5,($A81-1)*'Súpis dlhov'!$B$5))</f>
        <v/>
      </c>
      <c r="C81" s="26" t="str">
        <f aca="false">IF($A81="","",EDATE($B$5,$A81*'Súpis dlhov'!$B$5))</f>
        <v/>
      </c>
      <c r="D81" s="14" t="str">
        <f aca="false">IF($A81="","",$F80)</f>
        <v/>
      </c>
      <c r="E81" s="14" t="str">
        <f aca="false">IF($A81="","",$D81*$B$8)</f>
        <v/>
      </c>
      <c r="F81" s="14" t="str">
        <f aca="false">IF($A81="","",$D81+$E81)</f>
        <v/>
      </c>
    </row>
    <row r="82" customFormat="false" ht="15" hidden="false" customHeight="false" outlineLevel="0" collapsed="false">
      <c r="A82" s="13" t="str">
        <f aca="false">IF(71&lt;=$B$7,71,"")</f>
        <v/>
      </c>
      <c r="B82" s="26" t="str">
        <f aca="false">IF($A82="","",EDATE($B$5,($A82-1)*'Súpis dlhov'!$B$5))</f>
        <v/>
      </c>
      <c r="C82" s="26" t="str">
        <f aca="false">IF($A82="","",EDATE($B$5,$A82*'Súpis dlhov'!$B$5))</f>
        <v/>
      </c>
      <c r="D82" s="14" t="str">
        <f aca="false">IF($A82="","",$F81)</f>
        <v/>
      </c>
      <c r="E82" s="14" t="str">
        <f aca="false">IF($A82="","",$D82*$B$8)</f>
        <v/>
      </c>
      <c r="F82" s="14" t="str">
        <f aca="false">IF($A82="","",$D82+$E82)</f>
        <v/>
      </c>
    </row>
    <row r="83" customFormat="false" ht="15" hidden="false" customHeight="false" outlineLevel="0" collapsed="false">
      <c r="A83" s="13" t="str">
        <f aca="false">IF(72&lt;=$B$7,72,"")</f>
        <v/>
      </c>
      <c r="B83" s="26" t="str">
        <f aca="false">IF($A83="","",EDATE($B$5,($A83-1)*'Súpis dlhov'!$B$5))</f>
        <v/>
      </c>
      <c r="C83" s="26" t="str">
        <f aca="false">IF($A83="","",EDATE($B$5,$A83*'Súpis dlhov'!$B$5))</f>
        <v/>
      </c>
      <c r="D83" s="14" t="str">
        <f aca="false">IF($A83="","",$F82)</f>
        <v/>
      </c>
      <c r="E83" s="14" t="str">
        <f aca="false">IF($A83="","",$D83*$B$8)</f>
        <v/>
      </c>
      <c r="F83" s="14" t="str">
        <f aca="false">IF($A83="","",$D83+$E83)</f>
        <v/>
      </c>
    </row>
    <row r="84" customFormat="false" ht="15" hidden="false" customHeight="false" outlineLevel="0" collapsed="false">
      <c r="A84" s="13" t="str">
        <f aca="false">IF(73&lt;=$B$7,73,"")</f>
        <v/>
      </c>
      <c r="B84" s="26" t="str">
        <f aca="false">IF($A84="","",EDATE($B$5,($A84-1)*'Súpis dlhov'!$B$5))</f>
        <v/>
      </c>
      <c r="C84" s="26" t="str">
        <f aca="false">IF($A84="","",EDATE($B$5,$A84*'Súpis dlhov'!$B$5))</f>
        <v/>
      </c>
      <c r="D84" s="14" t="str">
        <f aca="false">IF($A84="","",$F83)</f>
        <v/>
      </c>
      <c r="E84" s="14" t="str">
        <f aca="false">IF($A84="","",$D84*$B$8)</f>
        <v/>
      </c>
      <c r="F84" s="14" t="str">
        <f aca="false">IF($A84="","",$D84+$E84)</f>
        <v/>
      </c>
    </row>
    <row r="85" customFormat="false" ht="15" hidden="false" customHeight="false" outlineLevel="0" collapsed="false">
      <c r="A85" s="13" t="str">
        <f aca="false">IF(74&lt;=$B$7,74,"")</f>
        <v/>
      </c>
      <c r="B85" s="26" t="str">
        <f aca="false">IF($A85="","",EDATE($B$5,($A85-1)*'Súpis dlhov'!$B$5))</f>
        <v/>
      </c>
      <c r="C85" s="26" t="str">
        <f aca="false">IF($A85="","",EDATE($B$5,$A85*'Súpis dlhov'!$B$5))</f>
        <v/>
      </c>
      <c r="D85" s="14" t="str">
        <f aca="false">IF($A85="","",$F84)</f>
        <v/>
      </c>
      <c r="E85" s="14" t="str">
        <f aca="false">IF($A85="","",$D85*$B$8)</f>
        <v/>
      </c>
      <c r="F85" s="14" t="str">
        <f aca="false">IF($A85="","",$D85+$E85)</f>
        <v/>
      </c>
    </row>
    <row r="86" customFormat="false" ht="15" hidden="false" customHeight="false" outlineLevel="0" collapsed="false">
      <c r="A86" s="13" t="str">
        <f aca="false">IF(75&lt;=$B$7,75,"")</f>
        <v/>
      </c>
      <c r="B86" s="26" t="str">
        <f aca="false">IF($A86="","",EDATE($B$5,($A86-1)*'Súpis dlhov'!$B$5))</f>
        <v/>
      </c>
      <c r="C86" s="26" t="str">
        <f aca="false">IF($A86="","",EDATE($B$5,$A86*'Súpis dlhov'!$B$5))</f>
        <v/>
      </c>
      <c r="D86" s="14" t="str">
        <f aca="false">IF($A86="","",$F85)</f>
        <v/>
      </c>
      <c r="E86" s="14" t="str">
        <f aca="false">IF($A86="","",$D86*$B$8)</f>
        <v/>
      </c>
      <c r="F86" s="14" t="str">
        <f aca="false">IF($A86="","",$D86+$E86)</f>
        <v/>
      </c>
    </row>
    <row r="87" customFormat="false" ht="15" hidden="false" customHeight="false" outlineLevel="0" collapsed="false">
      <c r="A87" s="13" t="str">
        <f aca="false">IF(76&lt;=$B$7,76,"")</f>
        <v/>
      </c>
      <c r="B87" s="26" t="str">
        <f aca="false">IF($A87="","",EDATE($B$5,($A87-1)*'Súpis dlhov'!$B$5))</f>
        <v/>
      </c>
      <c r="C87" s="26" t="str">
        <f aca="false">IF($A87="","",EDATE($B$5,$A87*'Súpis dlhov'!$B$5))</f>
        <v/>
      </c>
      <c r="D87" s="14" t="str">
        <f aca="false">IF($A87="","",$F86)</f>
        <v/>
      </c>
      <c r="E87" s="14" t="str">
        <f aca="false">IF($A87="","",$D87*$B$8)</f>
        <v/>
      </c>
      <c r="F87" s="14" t="str">
        <f aca="false">IF($A87="","",$D87+$E87)</f>
        <v/>
      </c>
    </row>
    <row r="88" customFormat="false" ht="15" hidden="false" customHeight="false" outlineLevel="0" collapsed="false">
      <c r="A88" s="13" t="str">
        <f aca="false">IF(77&lt;=$B$7,77,"")</f>
        <v/>
      </c>
      <c r="B88" s="26" t="str">
        <f aca="false">IF($A88="","",EDATE($B$5,($A88-1)*'Súpis dlhov'!$B$5))</f>
        <v/>
      </c>
      <c r="C88" s="26" t="str">
        <f aca="false">IF($A88="","",EDATE($B$5,$A88*'Súpis dlhov'!$B$5))</f>
        <v/>
      </c>
      <c r="D88" s="14" t="str">
        <f aca="false">IF($A88="","",$F87)</f>
        <v/>
      </c>
      <c r="E88" s="14" t="str">
        <f aca="false">IF($A88="","",$D88*$B$8)</f>
        <v/>
      </c>
      <c r="F88" s="14" t="str">
        <f aca="false">IF($A88="","",$D88+$E88)</f>
        <v/>
      </c>
    </row>
    <row r="89" customFormat="false" ht="15" hidden="false" customHeight="false" outlineLevel="0" collapsed="false">
      <c r="A89" s="13" t="str">
        <f aca="false">IF(78&lt;=$B$7,78,"")</f>
        <v/>
      </c>
      <c r="B89" s="26" t="str">
        <f aca="false">IF($A89="","",EDATE($B$5,($A89-1)*'Súpis dlhov'!$B$5))</f>
        <v/>
      </c>
      <c r="C89" s="26" t="str">
        <f aca="false">IF($A89="","",EDATE($B$5,$A89*'Súpis dlhov'!$B$5))</f>
        <v/>
      </c>
      <c r="D89" s="14" t="str">
        <f aca="false">IF($A89="","",$F88)</f>
        <v/>
      </c>
      <c r="E89" s="14" t="str">
        <f aca="false">IF($A89="","",$D89*$B$8)</f>
        <v/>
      </c>
      <c r="F89" s="14" t="str">
        <f aca="false">IF($A89="","",$D89+$E89)</f>
        <v/>
      </c>
    </row>
    <row r="90" customFormat="false" ht="15" hidden="false" customHeight="false" outlineLevel="0" collapsed="false">
      <c r="A90" s="13" t="str">
        <f aca="false">IF(79&lt;=$B$7,79,"")</f>
        <v/>
      </c>
      <c r="B90" s="26" t="str">
        <f aca="false">IF($A90="","",EDATE($B$5,($A90-1)*'Súpis dlhov'!$B$5))</f>
        <v/>
      </c>
      <c r="C90" s="26" t="str">
        <f aca="false">IF($A90="","",EDATE($B$5,$A90*'Súpis dlhov'!$B$5))</f>
        <v/>
      </c>
      <c r="D90" s="14" t="str">
        <f aca="false">IF($A90="","",$F89)</f>
        <v/>
      </c>
      <c r="E90" s="14" t="str">
        <f aca="false">IF($A90="","",$D90*$B$8)</f>
        <v/>
      </c>
      <c r="F90" s="14" t="str">
        <f aca="false">IF($A90="","",$D90+$E90)</f>
        <v/>
      </c>
    </row>
    <row r="91" customFormat="false" ht="15" hidden="false" customHeight="false" outlineLevel="0" collapsed="false">
      <c r="A91" s="13" t="str">
        <f aca="false">IF(80&lt;=$B$7,80,"")</f>
        <v/>
      </c>
      <c r="B91" s="26" t="str">
        <f aca="false">IF($A91="","",EDATE($B$5,($A91-1)*'Súpis dlhov'!$B$5))</f>
        <v/>
      </c>
      <c r="C91" s="26" t="str">
        <f aca="false">IF($A91="","",EDATE($B$5,$A91*'Súpis dlhov'!$B$5))</f>
        <v/>
      </c>
      <c r="D91" s="14" t="str">
        <f aca="false">IF($A91="","",$F90)</f>
        <v/>
      </c>
      <c r="E91" s="14" t="str">
        <f aca="false">IF($A91="","",$D91*$B$8)</f>
        <v/>
      </c>
      <c r="F91" s="14" t="str">
        <f aca="false">IF($A91="","",$D91+$E91)</f>
        <v/>
      </c>
    </row>
    <row r="93" customFormat="false" ht="15" hidden="false" customHeight="false" outlineLevel="0" collapsed="false">
      <c r="A93" s="16" t="s">
        <v>68</v>
      </c>
      <c r="B93" s="27" t="n">
        <f aca="false">EDATE($B$5,$B$7*'Súpis dlhov'!$B$5)</f>
        <v>46293</v>
      </c>
      <c r="C93" s="27" t="n">
        <f aca="false">$B$6</f>
        <v>46306</v>
      </c>
      <c r="D93" s="28" t="n">
        <f aca="false">IF($B$7=0,$B$4,INDEX($F$12:$F$91,$B$7))</f>
        <v>62443.1484973833</v>
      </c>
      <c r="E93" s="28" t="n">
        <f aca="false">IF($B$9="nie",0,$D93*'Súpis dlhov'!$B$4*MAX(0,$C93-$B93)/365)</f>
        <v>222.400254922187</v>
      </c>
      <c r="F93" s="28" t="n">
        <f aca="false">$D93+$E93</f>
        <v>62665.5487523055</v>
      </c>
    </row>
    <row r="94" customFormat="false" ht="15" hidden="false" customHeight="false" outlineLevel="0" collapsed="false">
      <c r="A94" s="16" t="s">
        <v>19</v>
      </c>
      <c r="B94" s="29" t="n">
        <f aca="false">MAX(0,$C93-$B93)</f>
        <v>13</v>
      </c>
      <c r="C94" s="30"/>
      <c r="D94" s="30"/>
      <c r="E94" s="30"/>
      <c r="F94" s="30"/>
    </row>
    <row r="95" customFormat="false" ht="15" hidden="false" customHeight="false" outlineLevel="0" collapsed="false">
      <c r="A95" s="16"/>
      <c r="B95" s="30"/>
      <c r="C95" s="30"/>
      <c r="D95" s="30"/>
      <c r="E95" s="30"/>
      <c r="F95" s="30"/>
    </row>
    <row r="96" customFormat="false" ht="15" hidden="false" customHeight="false" outlineLevel="0" collapsed="false">
      <c r="A96" s="16" t="s">
        <v>13</v>
      </c>
      <c r="B96" s="30"/>
      <c r="C96" s="30"/>
      <c r="D96" s="30"/>
      <c r="E96" s="30"/>
      <c r="F96" s="28" t="n">
        <f aca="false">$B$4</f>
        <v>50000</v>
      </c>
    </row>
    <row r="97" customFormat="false" ht="15" hidden="false" customHeight="false" outlineLevel="0" collapsed="false">
      <c r="A97" s="16" t="s">
        <v>21</v>
      </c>
      <c r="B97" s="30"/>
      <c r="C97" s="30"/>
      <c r="D97" s="30"/>
      <c r="E97" s="30"/>
      <c r="F97" s="28" t="n">
        <f aca="false">$F93-$B$4</f>
        <v>12665.5487523055</v>
      </c>
    </row>
    <row r="98" customFormat="false" ht="15" hidden="false" customHeight="false" outlineLevel="0" collapsed="false">
      <c r="A98" s="16" t="s">
        <v>69</v>
      </c>
      <c r="B98" s="30"/>
      <c r="C98" s="30"/>
      <c r="D98" s="30"/>
      <c r="E98" s="30"/>
      <c r="F98" s="17" t="n">
        <f aca="false">$F93</f>
        <v>62665.5487523055</v>
      </c>
    </row>
    <row r="99" customFormat="false" ht="15" hidden="false" customHeight="false" outlineLevel="0" collapsed="false">
      <c r="A99" s="16" t="s">
        <v>70</v>
      </c>
      <c r="B99" s="30"/>
      <c r="C99" s="30"/>
      <c r="D99" s="30"/>
      <c r="E99" s="30"/>
      <c r="F99" s="28" t="n">
        <f aca="false">$F98-INDEX('Súpis dlhov'!$L$11:$L$60,MATCH($B$3,'Súpis dlhov'!$A$11:$A$60,0))</f>
        <v>0</v>
      </c>
    </row>
  </sheetData>
  <dataValidations count="1">
    <dataValidation allowBlank="false" errorStyle="stop" operator="between" showDropDown="false" showErrorMessage="false" showInputMessage="false" sqref="B3" type="list">
      <formula1>'Súpis dlhov'!$A$11:$A$60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2026-10-11T18:29:58Z</dcterms:created>
  <dc:creator>openpyxl</dc:creator>
  <dc:description/>
  <dc:language>en-US</dc:language>
  <cp:lastModifiedBy/>
  <dcterms:modified xsi:type="dcterms:W3CDTF">2026-10-11T18:29:58Z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